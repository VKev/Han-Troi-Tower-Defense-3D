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TANTS" sheetId="1" r:id="rId4"/>
    <sheet state="visible" name="CALC" sheetId="2" r:id="rId5"/>
    <sheet state="visible" name="MONITOR" sheetId="3" r:id="rId6"/>
    <sheet state="visible" name="MATRIX" sheetId="4" r:id="rId7"/>
    <sheet state="visible" name="ECONOMY" sheetId="5" r:id="rId8"/>
  </sheets>
  <definedNames/>
  <calcPr/>
</workbook>
</file>

<file path=xl/sharedStrings.xml><?xml version="1.0" encoding="utf-8"?>
<sst xmlns="http://schemas.openxmlformats.org/spreadsheetml/2006/main" count="968" uniqueCount="422">
  <si>
    <t>HẠN TRỜI · BALANCE — CONSTANTS</t>
  </si>
  <si>
    <t>Nguồn: Hạn Trời GDD v1.0 (10/09/2026, Finalized). MỌI ô nền vàng chữ xanh là NÚM VẶN — chỉ sửa ở đây. CALC / MATRIX / ECONOMY / MONITOR toàn bộ là công thức.</t>
  </si>
  <si>
    <t>A · NÚM CHUNG (quyết định thiết kế)</t>
  </si>
  <si>
    <t>Núm</t>
  </si>
  <si>
    <t>Giá trị</t>
  </si>
  <si>
    <t>Đơn vị</t>
  </si>
  <si>
    <t>Tỷ lệ hoàn khi bán trụ</t>
  </si>
  <si>
    <t>phần</t>
  </si>
  <si>
    <t>Sàn cửa spawn khi window = 0</t>
  </si>
  <si>
    <t>giây</t>
  </si>
  <si>
    <t>Ngưỡng bước dốc biên tha thứ</t>
  </si>
  <si>
    <t>điểm %</t>
  </si>
  <si>
    <t>Biên tha thứ mục tiêu màn cuối</t>
  </si>
  <si>
    <t>Trần số trụ mỗi màn (0 = không cap)</t>
  </si>
  <si>
    <t>trụ</t>
  </si>
  <si>
    <t>Damage phải là ước của</t>
  </si>
  <si>
    <t>—</t>
  </si>
  <si>
    <t>Hệ số chủ lực trong ma trận</t>
  </si>
  <si>
    <t>lần</t>
  </si>
  <si>
    <t>Gà gáy mỗi quãng đường</t>
  </si>
  <si>
    <t>mét</t>
  </si>
  <si>
    <t>Gà · thời gian cast</t>
  </si>
  <si>
    <t>Gà · buff tốc (nhân)</t>
  </si>
  <si>
    <t>Gà · stack sau cộng thêm</t>
  </si>
  <si>
    <t>CC immunity cooldown mỗi enemy</t>
  </si>
  <si>
    <t>Uptime buff Gà · không có Nước</t>
  </si>
  <si>
    <t>Uptime buff Gà · có Nước slow</t>
  </si>
  <si>
    <t>B · TOWER CATALOG</t>
  </si>
  <si>
    <t>GDD 4.1a và 4.1b ghi INTERVAL KHÁC NHAU ở Generator và Tỏa Hồn. Cả hai cột đều có ở đây; cột ĐANG DÙNG là 4.1b (khớp luật 3.2 #3 và edge case 2.22 viên/s). MONITOR bắt xung đột này.</t>
  </si>
  <si>
    <t>Stable Id</t>
  </si>
  <si>
    <t>Hành · tên vật</t>
  </si>
  <si>
    <t>Input</t>
  </si>
  <si>
    <t>Output</t>
  </si>
  <si>
    <t>Cap</t>
  </si>
  <si>
    <t>Backpressure</t>
  </si>
  <si>
    <t>Interval ĐANG DÙNG (4.1a)</t>
  </si>
  <si>
    <t>Interval đối chiếu (4.1b)</t>
  </si>
  <si>
    <t>Build Cost</t>
  </si>
  <si>
    <t>Instances/Level</t>
  </si>
  <si>
    <t>Sellable</t>
  </si>
  <si>
    <t>Amount (dmg)</t>
  </si>
  <si>
    <t>Burn Dmg/Tick</t>
  </si>
  <si>
    <t>Burn Tick Int</t>
  </si>
  <si>
    <t>Burn Duration</t>
  </si>
  <si>
    <t>Vai trò</t>
  </si>
  <si>
    <t>Generator</t>
  </si>
  <si>
    <t>KIM · Chuông Đồng</t>
  </si>
  <si>
    <t>SOURCE</t>
  </si>
  <si>
    <t>Fire</t>
  </si>
  <si>
    <t>HỎA · Đình Hương</t>
  </si>
  <si>
    <t>NGUYÊN TỐ</t>
  </si>
  <si>
    <t>Water</t>
  </si>
  <si>
    <t>THỦY · Giếng Ngọc</t>
  </si>
  <si>
    <t>NGUYÊN TỐ / công cụ</t>
  </si>
  <si>
    <t>Wind</t>
  </si>
  <si>
    <t>PHONG · Túc Phong</t>
  </si>
  <si>
    <t>NGUYÊN TỐ / ống</t>
  </si>
  <si>
    <t>Hero</t>
  </si>
  <si>
    <t>Cua (Hero)</t>
  </si>
  <si>
    <t>STUN + damage riêng</t>
  </si>
  <si>
    <t>SoulNexus</t>
  </si>
  <si>
    <t>Tỏa Hồn</t>
  </si>
  <si>
    <t>ENDPOINT</t>
  </si>
  <si>
    <t>C · NÂNG CẤP</t>
  </si>
  <si>
    <t>Tier 1–2 là GDD 4.2 FINAL. Tier 3 là PROPOSAL (cột NHÃN nói rõ). Nguyên tắc T3: KHÔNG tăng damage mỗi phát (HP quái cố định, HTK là thứ người chơi đọc) — tăng SỐ MỤC TIÊU và ĐỘ MẠNH của hiệu ứng.</t>
  </si>
  <si>
    <t>Hành</t>
  </si>
  <si>
    <t>Tier</t>
  </si>
  <si>
    <t>Cost</t>
  </si>
  <si>
    <t>Damage Multiplier</t>
  </si>
  <si>
    <t>Push Distance (m)</t>
  </si>
  <si>
    <t>Slow Strength</t>
  </si>
  <si>
    <t>Slow Duration (s)</t>
  </si>
  <si>
    <t>Burn Duration (s)</t>
  </si>
  <si>
    <t>Mở ở màn</t>
  </si>
  <si>
    <t>Hiệu ứng thêm (không phải stat)</t>
  </si>
  <si>
    <t>Nhãn</t>
  </si>
  <si>
    <t>HỎA</t>
  </si>
  <si>
    <t>GDD 4.2 FINAL</t>
  </si>
  <si>
    <t>HỎA TỬ LIÊN XẠ — burn LAN sang 1 địch gần nhất chưa cháy khi mục tiêu chết vì burn. Damage/phát GIỮ NGUYÊN 41.</t>
  </si>
  <si>
    <t>PROPOSAL</t>
  </si>
  <si>
    <t>THỦY</t>
  </si>
  <si>
    <t>SA PHẤT — lần đầu tăng SLOW STRENGTH 0.304 → 0.45. Damage toàn mạng +44 % → +82 % qua phơi nhiễm.</t>
  </si>
  <si>
    <t>PHONG</t>
  </si>
  <si>
    <t>NGHỊCH PHONG — push 0.7 → 0.8 m, VÀ đẩy lùi HẠ ĐƯỢC mốc high-water-mark của Gà (luật 3.2 #9). Damage GIỮ NGUYÊN 6.5.</t>
  </si>
  <si>
    <t>C2 · HIỆU ỨNG NỀN</t>
  </si>
  <si>
    <t>Hiệu ứng</t>
  </si>
  <si>
    <t>Luật / ghi chú</t>
  </si>
  <si>
    <t>Slow Strength nền (THỦY)</t>
  </si>
  <si>
    <t>4.1a · mạnh thay yếu, bằng nhau refresh</t>
  </si>
  <si>
    <t>Slow Duration nền</t>
  </si>
  <si>
    <t>4.1a</t>
  </si>
  <si>
    <t>Push Distance nền (PHONG)</t>
  </si>
  <si>
    <t>Tàng hình · cổng</t>
  </si>
  <si>
    <t>nhị phân</t>
  </si>
  <si>
    <t>3.2 luật 8 — chỉ THỦY mở</t>
  </si>
  <si>
    <t>Kháng phép · cổng</t>
  </si>
  <si>
    <t>3.2 luật 8 — cần Sốc Nhiệt (HỎA + THỦY)</t>
  </si>
  <si>
    <t>Boss · miễn nhiễm khi đứng</t>
  </si>
  <si>
    <t>5.3 — chỉ ăn damage khi bắt đầu đi</t>
  </si>
  <si>
    <t>Boss · leak</t>
  </si>
  <si>
    <t>máu</t>
  </si>
  <si>
    <t>5.3 — KHÔNG ĐI, KHÔNG LEAK</t>
  </si>
  <si>
    <t>D · ENEMY CATALOG (GDD 5.1)</t>
  </si>
  <si>
    <t>HP · tốc · vàng lấy từ GDD 5.1. HIT RADIUS lấy từ tool (GDD không in cột này) — đây là chỉ số quyết định phơi nhiễm.</t>
  </si>
  <si>
    <t>Enemy Id</t>
  </si>
  <si>
    <t>Tên trong tutorial</t>
  </si>
  <si>
    <t>HP</t>
  </si>
  <si>
    <t>Move Speed</t>
  </si>
  <si>
    <t>Hit Radius (tool)</t>
  </si>
  <si>
    <t>Cổng miễn nhiễm</t>
  </si>
  <si>
    <t>Gold On Death</t>
  </si>
  <si>
    <t>Soul</t>
  </si>
  <si>
    <t>Leak Damage</t>
  </si>
  <si>
    <t>Basic</t>
  </si>
  <si>
    <t>Thường</t>
  </si>
  <si>
    <t>Armored</t>
  </si>
  <si>
    <t>Trâu / Khiên</t>
  </si>
  <si>
    <t>MagicResistant</t>
  </si>
  <si>
    <t>Kháng phép</t>
  </si>
  <si>
    <t>Sốc Nhiệt</t>
  </si>
  <si>
    <t>Stealth</t>
  </si>
  <si>
    <t>Tàng hình</t>
  </si>
  <si>
    <t>Trụ Nước</t>
  </si>
  <si>
    <t>SpeedSupport</t>
  </si>
  <si>
    <t>Gà</t>
  </si>
  <si>
    <t>MiniBoss</t>
  </si>
  <si>
    <t>Mini Boss</t>
  </si>
  <si>
    <t>SummonerBoss</t>
  </si>
  <si>
    <t>Boss</t>
  </si>
  <si>
    <t>Đứng = miễn nhiễm</t>
  </si>
  <si>
    <t>E · PHẢN ỨNG NGUYÊN TỐ</t>
  </si>
  <si>
    <t>Phản ứng</t>
  </si>
  <si>
    <t>Công thức</t>
  </si>
  <si>
    <t>Tác dụng</t>
  </si>
  <si>
    <t>Damage</t>
  </si>
  <si>
    <t>Radius (m)</t>
  </si>
  <si>
    <t>Dmg/Tick</t>
  </si>
  <si>
    <t>Tick Int</t>
  </si>
  <si>
    <t>Duration (s)</t>
  </si>
  <si>
    <t>HỎA + THỦY</t>
  </si>
  <si>
    <t>phá Khiên — mở cổng Kháng phép</t>
  </si>
  <si>
    <t>Lan Lửa</t>
  </si>
  <si>
    <t>HỎA + PHONG</t>
  </si>
  <si>
    <t>đốt lan theo vùng</t>
  </si>
  <si>
    <t>Hất Tung</t>
  </si>
  <si>
    <t>THỦY + PHONG</t>
  </si>
  <si>
    <t>hất 2.5 s, NGẮT lần gáy đang cast</t>
  </si>
  <si>
    <t>F · MÀN (GDD 7.1)</t>
  </si>
  <si>
    <t>Start gold 440 PHẲNG. RESET = 1: hết màn xoá hết trụ và nâng cấp (3.4).</t>
  </si>
  <si>
    <t>#</t>
  </si>
  <si>
    <t>Tên màn</t>
  </si>
  <si>
    <t>Máu căn cứ</t>
  </si>
  <si>
    <t>Starting Gold</t>
  </si>
  <si>
    <t>Số wave</t>
  </si>
  <si>
    <t>Breather?</t>
  </si>
  <si>
    <t>Reset hết màn?</t>
  </si>
  <si>
    <t>Win rate mục tiêu</t>
  </si>
  <si>
    <t>Đồng Nứt</t>
  </si>
  <si>
    <t>Bãi Cát Bỏng</t>
  </si>
  <si>
    <t>Đá Đỏ</t>
  </si>
  <si>
    <t>Suối Cạn</t>
  </si>
  <si>
    <t>Đồi Trọc</t>
  </si>
  <si>
    <t>Rừng Tre Khô</t>
  </si>
  <si>
    <t>Vách Đá Vàng</t>
  </si>
  <si>
    <t>Vực Gió</t>
  </si>
  <si>
    <t>Động Khảm</t>
  </si>
  <si>
    <t>Rừng Cấm</t>
  </si>
  <si>
    <t>G · THỨ TỰ MỞ KHOÁ (GDD 7.3)</t>
  </si>
  <si>
    <t>Mở cái gì</t>
  </si>
  <si>
    <t>Ở wave / màn</t>
  </si>
  <si>
    <t>Nối dây (core loop)</t>
  </si>
  <si>
    <t>M1 · W1</t>
  </si>
  <si>
    <t>Trụ Lửa</t>
  </si>
  <si>
    <t>M1 · W3</t>
  </si>
  <si>
    <t>Trụ Nước + cổng Tàng hình</t>
  </si>
  <si>
    <t>M1 · W4</t>
  </si>
  <si>
    <t>Trần thông lượng</t>
  </si>
  <si>
    <t>M1 · W6</t>
  </si>
  <si>
    <t>Nâng cấp Tier 1</t>
  </si>
  <si>
    <t>M2 · W1</t>
  </si>
  <si>
    <t>Sốc Nhiệt + cổng Khiên</t>
  </si>
  <si>
    <t>M2 · W4</t>
  </si>
  <si>
    <t>Hai cổng cùng lúc</t>
  </si>
  <si>
    <t>M2 · W6</t>
  </si>
  <si>
    <t>Trụ Gió</t>
  </si>
  <si>
    <t>M3 · W2</t>
  </si>
  <si>
    <t>M3 · W3</t>
  </si>
  <si>
    <t>Hất Tung + con Gà</t>
  </si>
  <si>
    <t>M3 · W4</t>
  </si>
  <si>
    <t>Nâng cấp Tier 2</t>
  </si>
  <si>
    <t>M3 · W7</t>
  </si>
  <si>
    <t>Mini boss</t>
  </si>
  <si>
    <t>Màn 5</t>
  </si>
  <si>
    <t>Hero (Cua)</t>
  </si>
  <si>
    <t>Màn 7</t>
  </si>
  <si>
    <t>Màn 10</t>
  </si>
  <si>
    <t>H · WAVE DATA</t>
  </si>
  <si>
    <t>1 dòng = 1 batch. Wave đánh số TỪ 1. Cột I–M là cột tính.</t>
  </si>
  <si>
    <t>Màn</t>
  </si>
  <si>
    <t>Wave</t>
  </si>
  <si>
    <t>Clear gold</t>
  </si>
  <si>
    <t>Số lượng</t>
  </si>
  <si>
    <t>Start (s)</t>
  </si>
  <si>
    <t>Window (s)</t>
  </si>
  <si>
    <t>Spawn idx</t>
  </si>
  <si>
    <t>Khoá</t>
  </si>
  <si>
    <t>Gold batch</t>
  </si>
  <si>
    <t>HP batch</t>
  </si>
  <si>
    <t>Độ dai batch</t>
  </si>
  <si>
    <t>Hết lúc (s)</t>
  </si>
  <si>
    <t>CALC — chỉ công thức. Không có số nào gõ tay.</t>
  </si>
  <si>
    <t>Khối R (nền xanh lá) là tham số kéo về từ CONSTANTS để đọc nhanh. Mọi khối dưới đọc từ CONSTANTS hoặc từ khối R.</t>
  </si>
  <si>
    <t>R · KHỐI REFERENCE (kéo từ CONSTANTS)</t>
  </si>
  <si>
    <t>Tham số</t>
  </si>
  <si>
    <t>Nhịp nguồn KIM (viên/s)</t>
  </si>
  <si>
    <t>Nhịp nguồn theo 4.1b (viên/s)</t>
  </si>
  <si>
    <t>Trần Tỏa Hồn (viên/s)</t>
  </si>
  <si>
    <t>Nhịp HỎA (viên/s)</t>
  </si>
  <si>
    <t>Nhịp THỦY (viên/s)</t>
  </si>
  <si>
    <t>Nhịp PHONG (viên/s)</t>
  </si>
  <si>
    <t>Nhịp Hero (viên/s)</t>
  </si>
  <si>
    <t>Tỷ lệ hoàn khi bán</t>
  </si>
  <si>
    <t>Sàn cửa spawn (s)</t>
  </si>
  <si>
    <t>Ngưỡng bước dốc</t>
  </si>
  <si>
    <t>Hệ số chủ lực</t>
  </si>
  <si>
    <t>CHAIN TỐI THIỂU (KIM + 1 hành)</t>
  </si>
  <si>
    <t>BUILD ĐỦ (5 trụ mua bằng vàng)</t>
  </si>
  <si>
    <t>NÂNG CẤP ĐỦ</t>
  </si>
  <si>
    <t>MỐC MUA HẾT</t>
  </si>
  <si>
    <t>1 · TRỤ — damage mỗi phát và DPS</t>
  </si>
  <si>
    <t>Burn tổng = Dmg/Tick × (Duration ÷ Tick Interval). Chain rate = nhịp của mắt CHẬM NHẤT (luật 3.2 #3), tức MIN(nhịp nguồn, nhịp trụ cuối).</t>
  </si>
  <si>
    <t>Trụ</t>
  </si>
  <si>
    <t>Amount</t>
  </si>
  <si>
    <t>Burn tổng/phát</t>
  </si>
  <si>
    <t>Damage/phát</t>
  </si>
  <si>
    <t>Viên/s tự thân</t>
  </si>
  <si>
    <t>DPS tự thân</t>
  </si>
  <si>
    <t>Chain rate khi là mắt cuối</t>
  </si>
  <si>
    <t>CHAIN DPS</t>
  </si>
  <si>
    <t>% nhịp so với nguồn</t>
  </si>
  <si>
    <t>Hai chain HỎA cùng đổ vào Tỏa Hồn</t>
  </si>
  <si>
    <t>viên/s</t>
  </si>
  <si>
    <t>2 · QUÁI — phơi nhiễm, độ dai thật, số phát để chết</t>
  </si>
  <si>
    <t>PHƠI NHIỄM = Hit Radius ÷ Move Speed. ĐỘ DAI THẬT = HP ÷ phơi nhiễm. Đây là chỉ số dai đúng của game, không phải HP (GDD 7.4).</t>
  </si>
  <si>
    <t>Quái</t>
  </si>
  <si>
    <t>Tốc</t>
  </si>
  <si>
    <t>Bán kính</t>
  </si>
  <si>
    <t>Phơi nhiễm</t>
  </si>
  <si>
    <t>Độ dai thật</t>
  </si>
  <si>
    <t>Dai so với Thường</t>
  </si>
  <si>
    <t>HTK vs KIM (5)</t>
  </si>
  <si>
    <t>HTK vs HỎA (10)</t>
  </si>
  <si>
    <t>HTK vs HỎA+burn</t>
  </si>
  <si>
    <t>Giây để chết bằng chain HỎA</t>
  </si>
  <si>
    <t>Vàng</t>
  </si>
  <si>
    <t>Vàng / điểm dai</t>
  </si>
  <si>
    <t>Dải vàng/điểm dai của nhóm quái THƯỜNG (4 loại)</t>
  </si>
  <si>
    <t>→</t>
  </si>
  <si>
    <t>2b · THỦY — hệ số nhân damage toàn mạng</t>
  </si>
  <si>
    <t>THỦY có 0 damage nên giá trị của nó đo bằng PHƠI NHIỄM: slow làm quái đi chậm → nằm trên đoạn dây lâu hơn → ăn nhiều phát hơn TỪ MỌI TRỤ. Phơi nhiễm hiệu dụng = 1 ÷ (1 − slow strength).</t>
  </si>
  <si>
    <t>Bậc THỦY</t>
  </si>
  <si>
    <t>Cost cộng dồn</t>
  </si>
  <si>
    <t>Phơi nhiễm ×</t>
  </si>
  <si>
    <t>Damage toàn mạng</t>
  </si>
  <si>
    <t>Tăng thêm so với bậc trước</t>
  </si>
  <si>
    <t>Chưa nâng cấp</t>
  </si>
  <si>
    <t>Tier 1</t>
  </si>
  <si>
    <t>Tier 2</t>
  </si>
  <si>
    <t>Tier 3 (PROPOSAL)</t>
  </si>
  <si>
    <t>3 · WAVE — beat chart</t>
  </si>
  <si>
    <t>BEAT = tổng độ dai của wave, chuẩn hoá 0–100 (wave nặng nhất = 100). ÁP LỰC = tổng độ dai ÷ cửa hiệu dụng.</t>
  </si>
  <si>
    <t>Wave # toàn game</t>
  </si>
  <si>
    <t>Số địch</t>
  </si>
  <si>
    <t>Tổng HP</t>
  </si>
  <si>
    <t>Tổng độ dai</t>
  </si>
  <si>
    <t>Cửa spawn (s)</t>
  </si>
  <si>
    <t>Cửa hiệu dụng</t>
  </si>
  <si>
    <t>ÁP LỰC</t>
  </si>
  <si>
    <t>BEAT (0–100)</t>
  </si>
  <si>
    <t>Số loại quái</t>
  </si>
  <si>
    <t>Kill gold</t>
  </si>
  <si>
    <t>4 · MÀN — đường cong độ khó</t>
  </si>
  <si>
    <t>BIÊN THA THỨ = máu căn cứ ÷ tổng số địch (GDD 7.1). Bước dốc tính theo ĐIỂM phần trăm.</t>
  </si>
  <si>
    <t>BIÊN THA THỨ</t>
  </si>
  <si>
    <t>Bước dốc (điểm %)</t>
  </si>
  <si>
    <t>Vượt ngưỡng?</t>
  </si>
  <si>
    <t>Độ dai TB mỗi con</t>
  </si>
  <si>
    <t>Tổng cửa spawn (s)</t>
  </si>
  <si>
    <t>Mật độ spawn (địch/giây)</t>
  </si>
  <si>
    <t>Vượt nhịp nguồn?</t>
  </si>
  <si>
    <t>BEAT TB</t>
  </si>
  <si>
    <t>BEAT đỉnh</t>
  </si>
  <si>
    <t>MONITOR — bảng chứng minh + chart</t>
  </si>
  <si>
    <t>Mỗi dòng là một phát biểu kiểm được. Cột KẾT QUẢ là công thức so đo được với ngưỡng. Không sửa gì ở sheet này.</t>
  </si>
  <si>
    <t>2 · BẢNG CHỨNG MINH</t>
  </si>
  <si>
    <t>Phát biểu</t>
  </si>
  <si>
    <t>Đo được</t>
  </si>
  <si>
    <t>Ngưỡng</t>
  </si>
  <si>
    <t>KẾT QUẢ</t>
  </si>
  <si>
    <t>HTK ra SỐ NGUYÊN với mọi damage cơ bản (5 và 10)</t>
  </si>
  <si>
    <t>0 — 0 ô lệch trên 7 quái × 2 mức damage</t>
  </si>
  <si>
    <t>PHONG là hành nguyên tố DUY NHẤT theo kịp nhịp nguồn</t>
  </si>
  <si>
    <t>1 — đúng 1 hành</t>
  </si>
  <si>
    <t>HỎA và THỦY nghẹn chain so với nguồn</t>
  </si>
  <si>
    <t>0 — &gt; 0 nghĩa là có nghẹn</t>
  </si>
  <si>
    <t>Hai chain HỎA vượt trần Tỏa Hồn (edge case 3.5)</t>
  </si>
  <si>
    <t>0 — &gt; 0 nghĩa là vượt</t>
  </si>
  <si>
    <t>Chuỗi dài hơn KHÔNG mạnh hơn (luật thay thế)</t>
  </si>
  <si>
    <t>0 — = 0 · chain 2 trụ và 4 trụ cùng DPS</t>
  </si>
  <si>
    <t>Biên tha thứ đơn điệu giảm (bỏ qua màn breather)</t>
  </si>
  <si>
    <t>0 — 0 màn tăng ngược</t>
  </si>
  <si>
    <t>Không màn nào có bước dốc vượt ngưỡng</t>
  </si>
  <si>
    <t>0 — 0 màn vượt</t>
  </si>
  <si>
    <t>Màn 2 sang 3 và màn 9</t>
  </si>
  <si>
    <t>Màn 9 là breather — biên CAO HƠN màn 8</t>
  </si>
  <si>
    <t>0 — &gt; 0</t>
  </si>
  <si>
    <t>Màn 10 đạt biên tha thứ mục tiêu</t>
  </si>
  <si>
    <t>Không màn nào mua nổi HẾT (kinh tế phải khan hiếm)</t>
  </si>
  <si>
    <t>0 — 0 màn — với 4.2 chỉ có 2 tier thì mốc mua hết chỉ còn 3 150</t>
  </si>
  <si>
    <t>Mọi màn đều gom nổi chain tối thiểu ở wave 1</t>
  </si>
  <si>
    <t>10 — đúng 10 màn</t>
  </si>
  <si>
    <t>Start gold đủ cho chain tối thiểu, không dư nhiều</t>
  </si>
  <si>
    <t>0 — ≥ 0 và nhỏ</t>
  </si>
  <si>
    <t>Mật độ spawn vượt nhịp nguồn từ màn 5 trở đi</t>
  </si>
  <si>
    <t>6 — 6 màn (5→10)</t>
  </si>
  <si>
    <t>Ma trận 4.3 khớp với số tính ra (4 hàng có damage &gt; 0)</t>
  </si>
  <si>
    <t>4 — KIM · HỎA · PHONG · Hero (THỦY không so được)</t>
  </si>
  <si>
    <t>Mỗi loại quái có ít nhất một trụ chủ lực (✔✔) trong 4.3</t>
  </si>
  <si>
    <t>5 — đủ 5 loại quái</t>
  </si>
  <si>
    <t>Nâng cấp THỦY mua được thứ ĐO ĐƯỢC (dù 0 damage)</t>
  </si>
  <si>
    <t>0 — &gt; 0 · điểm % damage toàn mạng mà cả đường THỦY mua được</t>
  </si>
  <si>
    <t>Mỗi hành có đủ 3 tier và giá đơn điệu tăng</t>
  </si>
  <si>
    <t>0 — 0 chỗ tier sau rẻ hơn tier trước</t>
  </si>
  <si>
    <t>Trần số trụ mỗi màn đã được set</t>
  </si>
  <si>
    <t>0 — &gt; 0 mới là ổn</t>
  </si>
  <si>
    <t>Số trụ mua được ở màn giàu nhất</t>
  </si>
  <si>
    <t>0 — chỉ để tham chiếu</t>
  </si>
  <si>
    <t>Số dòng ĐẠT</t>
  </si>
  <si>
    <t>trên tổng</t>
  </si>
  <si>
    <t>MA TRẬN KHẮC CHẾ — trụ × enemy</t>
  </si>
  <si>
    <t xml:space="preserve">1 · BẢNG 4.3 CỦA GDD </t>
  </si>
  <si>
    <t>THỦY không gây damage — ký hiệu của nó là hiệu quả slow, không phải damage. Kháng phép cần CẢ HAI hỏa và thủy burst (Sốc Nhiệt).</t>
  </si>
  <si>
    <t>Hành / trụ</t>
  </si>
  <si>
    <t>Trâu</t>
  </si>
  <si>
    <t>KIM</t>
  </si>
  <si>
    <t>✔</t>
  </si>
  <si>
    <t>X</t>
  </si>
  <si>
    <t>✔✔</t>
  </si>
  <si>
    <t>THỔ</t>
  </si>
  <si>
    <t>2 · SỐ PHÁT ĐỂ CHẾT (công thức)</t>
  </si>
  <si>
    <t>Công thức: ROUNDUP(HP quái ÷ damage mỗi phát của trụ). Trụ 0 damage ghi vô cực. THỔ đóng nên để trống.</t>
  </si>
  <si>
    <t>3 · GIÂY ĐỂ CHẾT (công thức)</t>
  </si>
  <si>
    <t>Công thức: số phát ÷ chain rate của trụ đó. Đây là thước so sánh giữa các trụ, vì nhịp khác nhau.</t>
  </si>
  <si>
    <t>Chain rate (viên/s)</t>
  </si>
  <si>
    <t>4 · CỔNG MIỄN NHIỄM (công thức)</t>
  </si>
  <si>
    <t>Nhị phân theo luật 3.2 #8: Tàng hình chỉ THỦY mở · Kháng phép chỉ Sốc Nhiệt (HỎA + THỦY) mở. Trụ nào không mở được cổng thì mọi damage của nó = 0.</t>
  </si>
  <si>
    <t>BỊ CHẶN</t>
  </si>
  <si>
    <t>nửa cổng</t>
  </si>
  <si>
    <t>MỞ ĐƯỢC</t>
  </si>
  <si>
    <t xml:space="preserve">5 · ĐỐI CHIẾU </t>
  </si>
  <si>
    <t>Thường · GDD</t>
  </si>
  <si>
    <t>Trâu · GDD</t>
  </si>
  <si>
    <t>Kháng phép · GDD</t>
  </si>
  <si>
    <t>Tàng hình · GDD</t>
  </si>
  <si>
    <t>Gà · GDD</t>
  </si>
  <si>
    <t>Thường · tính</t>
  </si>
  <si>
    <t>Trâu · tính</t>
  </si>
  <si>
    <t>Kháng phép · tính</t>
  </si>
  <si>
    <t>Tàng hình · tính</t>
  </si>
  <si>
    <t>Gà · tính</t>
  </si>
  <si>
    <t>KINH TẾ — công thức thu / chi</t>
  </si>
  <si>
    <t>Hết màn RESET HẾT (GDD 3.4) → mọi tỷ lệ tính TRONG MỘT MÀN, không tích luỹ qua màn.</t>
  </si>
  <si>
    <t>1 · CÔNG THỨC CHI (mốc tiêu tiền)</t>
  </si>
  <si>
    <t>Mốc</t>
  </si>
  <si>
    <t>Ghi chú</t>
  </si>
  <si>
    <t>Chain tối thiểu</t>
  </si>
  <si>
    <t>KIM + hành rẻ nhất</t>
  </si>
  <si>
    <t>điều kiện để bắt được wave 1</t>
  </si>
  <si>
    <t>Build đủ 5 trụ mua bằng vàng</t>
  </si>
  <si>
    <t>Σ Build Cost</t>
  </si>
  <si>
    <t>Tỏa Hồn = 0</t>
  </si>
  <si>
    <t>Nâng cấp đủ (GDD 4.2)</t>
  </si>
  <si>
    <t>Σ Cost tier</t>
  </si>
  <si>
    <t>2 tier × 3 hành</t>
  </si>
  <si>
    <t>build + nâng cấp</t>
  </si>
  <si>
    <t>trần chi tiêu một màn</t>
  </si>
  <si>
    <t>Build Cost Hero</t>
  </si>
  <si>
    <t>GDD 8.2 ghi giá UNKNOWN — số này từ 6.2</t>
  </si>
  <si>
    <t>Hoàn khi bán 1 trụ 200</t>
  </si>
  <si>
    <t>200 × tỷ lệ hoàn</t>
  </si>
  <si>
    <t>Mất khi bán 1 trụ 200</t>
  </si>
  <si>
    <t>200 × (1 − tỷ lệ)</t>
  </si>
  <si>
    <t>≈ bao nhiêu con Thường</t>
  </si>
  <si>
    <t>Mất đó bằng mấy con Thường</t>
  </si>
  <si>
    <t>mất ÷ vàng Thường</t>
  </si>
  <si>
    <t>2 · THU / CHI THEO MÀN</t>
  </si>
  <si>
    <t>Kill gold và clear gold cộng từ wave data. Không có số nào gõ tay.</t>
  </si>
  <si>
    <t>Start gold</t>
  </si>
  <si>
    <t>TỔNG THU</t>
  </si>
  <si>
    <t>/ chain tối thiểu</t>
  </si>
  <si>
    <t>/ build đủ</t>
  </si>
  <si>
    <t>/ mốc mua hết</t>
  </si>
  <si>
    <t>Mua hết được?</t>
  </si>
  <si>
    <t>% thu bị build hấp thụ</t>
  </si>
  <si>
    <t>% thu bị nâng cấp hấp thụ</t>
  </si>
  <si>
    <t>% Hero</t>
  </si>
  <si>
    <t>TỔNG 10 MÀN</t>
  </si>
  <si>
    <t>3 · TIỀN VÀO LÚC NÀO — cộng dồn theo wave</t>
  </si>
  <si>
    <t>Hàng = wave, cột = màn. Ô = tổng vàng đã có ở cuối wave đó (start gold + kill + clear cộng dồn). Dùng để biết mốc nào chạm được ở wave nào.</t>
  </si>
  <si>
    <t>Màn 1</t>
  </si>
  <si>
    <t>Màn 2</t>
  </si>
  <si>
    <t>Màn 3</t>
  </si>
  <si>
    <t>Màn 4</t>
  </si>
  <si>
    <t>Màn 6</t>
  </si>
  <si>
    <t>Màn 8</t>
  </si>
  <si>
    <t>Màn 9</t>
  </si>
  <si>
    <t>4 · MỐC CHẠM ĐƯỢC Ở WAVE NÀO</t>
  </si>
  <si>
    <t>Wave đầu tiên mà vàng cộng dồn ≥ mốc. 'không' = không bao giờ đạt trong màn đó.</t>
  </si>
  <si>
    <t>HỎA T1 (build 200 + tier 280)</t>
  </si>
  <si>
    <t>HỎA T1+T2 (200 + 700)</t>
  </si>
  <si>
    <t>Build đủ 5 trụ</t>
  </si>
  <si>
    <t>Đọc bảng: số trong ô là số WAVE. 'không' nghĩa là cả màn không gom nổi mốc đó — với MỐC MUA HẾT thì 'không' ở mọi màn là ĐÚNG Ý (khan hiếm).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</si>
</sst>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00"/>
    <numFmt numFmtId="165" formatCode="0.0"/>
    <numFmt numFmtId="166" formatCode="0.0000"/>
    <numFmt numFmtId="167" formatCode="0.0%"/>
    <numFmt numFmtId="168" formatCode="0.00\×"/>
    <numFmt numFmtId="169" formatCode="#,##0.0"/>
  </numFmts>
  <fonts count="11">
    <font>
      <sz val="11.0"/>
      <color/>
      <name val="Arial"/>
      <scheme val="minor"/>
    </font>
    <font>
      <b/>
      <sz val="14.0"/>
      <color rgb="FF1F3864"/>
      <name val="Arial"/>
    </font>
    <font>
      <i/>
      <sz val="9.0"/>
      <color rgb="FF595959"/>
      <name val="Arial"/>
    </font>
    <font>
      <b/>
      <sz val="11.0"/>
      <color rgb="FFFFFFFF"/>
      <name val="Arial"/>
    </font>
    <font>
      <sz val="11.0"/>
      <color/>
      <name val="Calibri"/>
    </font>
    <font>
      <b/>
      <sz val="9.0"/>
      <color rgb="FF203864"/>
      <name val="Arial"/>
    </font>
    <font>
      <b/>
      <sz val="10.0"/>
      <name val="Arial"/>
    </font>
    <font>
      <sz val="10.0"/>
      <color rgb="FF0000FF"/>
      <name val="Arial"/>
    </font>
    <font>
      <sz val="10.0"/>
      <name val="Arial"/>
    </font>
    <font>
      <b/>
      <sz val="10.0"/>
      <color rgb="FF9C0006"/>
      <name val="Arial"/>
    </font>
    <font>
      <sz val="10.0"/>
      <color rgb="FF0061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2EFDA"/>
      </patternFill>
    </fill>
    <fill>
      <patternFill patternType="solid">
        <fgColor rgb="FFFFC7CE"/>
        <bgColor rgb="FFFFC7CE"/>
      </patternFill>
    </fill>
  </fills>
  <borders count="3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1" fillId="2" fontId="4" numFmtId="0" xfId="0" applyBorder="1" applyFont="1"/>
    <xf borderId="2" fillId="3" fontId="5" numFmtId="0" xfId="0" applyAlignment="1" applyBorder="1" applyFill="1" applyFont="1">
      <alignment horizontal="center" shrinkToFit="0" vertical="center" wrapText="1"/>
    </xf>
    <xf borderId="2" fillId="0" fontId="6" numFmtId="0" xfId="0" applyAlignment="1" applyBorder="1" applyFont="1">
      <alignment shrinkToFit="0" vertical="top" wrapText="1"/>
    </xf>
    <xf borderId="2" fillId="4" fontId="7" numFmtId="164" xfId="0" applyBorder="1" applyFill="1" applyFont="1" applyNumberFormat="1"/>
    <xf borderId="2" fillId="0" fontId="8" numFmtId="0" xfId="0" applyAlignment="1" applyBorder="1" applyFont="1">
      <alignment shrinkToFit="0" vertical="top" wrapText="1"/>
    </xf>
    <xf borderId="2" fillId="0" fontId="2" numFmtId="0" xfId="0" applyAlignment="1" applyBorder="1" applyFont="1">
      <alignment shrinkToFit="0" vertical="top" wrapText="1"/>
    </xf>
    <xf borderId="2" fillId="4" fontId="7" numFmtId="1" xfId="0" applyBorder="1" applyFont="1" applyNumberFormat="1"/>
    <xf borderId="2" fillId="4" fontId="7" numFmtId="2" xfId="0" applyBorder="1" applyFont="1" applyNumberFormat="1"/>
    <xf borderId="2" fillId="4" fontId="7" numFmtId="165" xfId="0" applyBorder="1" applyFont="1" applyNumberFormat="1"/>
    <xf borderId="2" fillId="0" fontId="9" numFmtId="0" xfId="0" applyAlignment="1" applyBorder="1" applyFont="1">
      <alignment shrinkToFit="0" vertical="top" wrapText="1"/>
    </xf>
    <xf borderId="2" fillId="4" fontId="7" numFmtId="166" xfId="0" applyBorder="1" applyFont="1" applyNumberFormat="1"/>
    <xf borderId="2" fillId="4" fontId="7" numFmtId="9" xfId="0" applyBorder="1" applyFont="1" applyNumberFormat="1"/>
    <xf borderId="2" fillId="0" fontId="8" numFmtId="0" xfId="0" applyBorder="1" applyFont="1"/>
    <xf borderId="2" fillId="0" fontId="8" numFmtId="1" xfId="0" applyBorder="1" applyFont="1" applyNumberFormat="1"/>
    <xf borderId="2" fillId="0" fontId="8" numFmtId="165" xfId="0" applyBorder="1" applyFont="1" applyNumberFormat="1"/>
    <xf borderId="2" fillId="0" fontId="8" numFmtId="0" xfId="0" applyAlignment="1" applyBorder="1" applyFont="1">
      <alignment readingOrder="0" shrinkToFit="0" vertical="top" wrapText="1"/>
    </xf>
    <xf borderId="2" fillId="5" fontId="10" numFmtId="164" xfId="0" applyBorder="1" applyFill="1" applyFont="1" applyNumberFormat="1"/>
    <xf borderId="2" fillId="5" fontId="10" numFmtId="9" xfId="0" applyBorder="1" applyFont="1" applyNumberFormat="1"/>
    <xf borderId="2" fillId="5" fontId="10" numFmtId="1" xfId="0" applyBorder="1" applyFont="1" applyNumberFormat="1"/>
    <xf borderId="2" fillId="5" fontId="10" numFmtId="167" xfId="0" applyBorder="1" applyFont="1" applyNumberFormat="1"/>
    <xf borderId="2" fillId="5" fontId="10" numFmtId="2" xfId="0" applyBorder="1" applyFont="1" applyNumberFormat="1"/>
    <xf borderId="2" fillId="5" fontId="10" numFmtId="3" xfId="0" applyBorder="1" applyFont="1" applyNumberFormat="1"/>
    <xf borderId="2" fillId="0" fontId="6" numFmtId="0" xfId="0" applyBorder="1" applyFont="1"/>
    <xf borderId="2" fillId="0" fontId="6" numFmtId="165" xfId="0" applyBorder="1" applyFont="1" applyNumberFormat="1"/>
    <xf borderId="2" fillId="0" fontId="8" numFmtId="164" xfId="0" applyBorder="1" applyFont="1" applyNumberFormat="1"/>
    <xf borderId="2" fillId="0" fontId="8" numFmtId="167" xfId="0" applyBorder="1" applyFont="1" applyNumberFormat="1"/>
    <xf borderId="2" fillId="0" fontId="8" numFmtId="2" xfId="0" applyBorder="1" applyFont="1" applyNumberFormat="1"/>
    <xf borderId="2" fillId="0" fontId="8" numFmtId="166" xfId="0" applyBorder="1" applyFont="1" applyNumberFormat="1"/>
    <xf borderId="2" fillId="0" fontId="8" numFmtId="168" xfId="0" applyBorder="1" applyFont="1" applyNumberFormat="1"/>
    <xf borderId="2" fillId="0" fontId="8" numFmtId="3" xfId="0" applyBorder="1" applyFont="1" applyNumberFormat="1"/>
    <xf borderId="2" fillId="0" fontId="6" numFmtId="167" xfId="0" applyBorder="1" applyFont="1" applyNumberFormat="1"/>
    <xf borderId="2" fillId="0" fontId="8" numFmtId="9" xfId="0" applyBorder="1" applyFont="1" applyNumberFormat="1"/>
    <xf borderId="0" fillId="0" fontId="4" numFmtId="0" xfId="0" applyFont="1"/>
    <xf borderId="1" fillId="0" fontId="3" numFmtId="0" xfId="0" applyBorder="1" applyFont="1"/>
    <xf borderId="1" fillId="0" fontId="4" numFmtId="0" xfId="0" applyBorder="1" applyFont="1"/>
    <xf borderId="1" fillId="0" fontId="2" numFmtId="0" xfId="0" applyBorder="1" applyFont="1"/>
    <xf borderId="1" fillId="0" fontId="5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shrinkToFit="0" vertical="top" wrapText="1"/>
    </xf>
    <xf borderId="1" fillId="0" fontId="6" numFmtId="0" xfId="0" applyAlignment="1" applyBorder="1" applyFont="1">
      <alignment shrinkToFit="0" vertical="top" wrapText="1"/>
    </xf>
    <xf borderId="1" fillId="0" fontId="9" numFmtId="0" xfId="0" applyAlignment="1" applyBorder="1" applyFont="1">
      <alignment shrinkToFit="0" vertical="top" wrapText="1"/>
    </xf>
    <xf borderId="2" fillId="0" fontId="6" numFmtId="0" xfId="0" applyAlignment="1" applyBorder="1" applyFont="1">
      <alignment horizontal="center"/>
    </xf>
    <xf borderId="2" fillId="0" fontId="6" numFmtId="1" xfId="0" applyBorder="1" applyFont="1" applyNumberFormat="1"/>
    <xf borderId="2" fillId="4" fontId="7" numFmtId="0" xfId="0" applyAlignment="1" applyBorder="1" applyFont="1">
      <alignment horizontal="center"/>
    </xf>
    <xf borderId="2" fillId="0" fontId="8" numFmtId="0" xfId="0" applyAlignment="1" applyBorder="1" applyFont="1">
      <alignment horizontal="center"/>
    </xf>
    <xf borderId="2" fillId="6" fontId="9" numFmtId="0" xfId="0" applyAlignment="1" applyBorder="1" applyFill="1" applyFont="1">
      <alignment horizontal="center"/>
    </xf>
    <xf borderId="2" fillId="0" fontId="8" numFmtId="0" xfId="0" applyAlignment="1" applyBorder="1" applyFont="1">
      <alignment shrinkToFit="0" vertical="top" wrapText="1"/>
    </xf>
    <xf borderId="2" fillId="0" fontId="6" numFmtId="3" xfId="0" applyBorder="1" applyFont="1" applyNumberFormat="1"/>
    <xf borderId="2" fillId="0" fontId="6" numFmtId="169" xfId="0" applyBorder="1" applyFont="1" applyNumberFormat="1"/>
    <xf borderId="2" fillId="0" fontId="6" numFmtId="168" xfId="0" applyBorder="1" applyFont="1" applyNumberFormat="1"/>
    <xf borderId="2" fillId="0" fontId="8" numFmtId="1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Đường cong độ khó — biên tha thứ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BIÊN THA THỨ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CALC!$A$154:$A$163</c:f>
            </c:strRef>
          </c:cat>
          <c:val>
            <c:numRef>
              <c:f>CALC!$H$154:$H$163</c:f>
              <c:numCache/>
            </c:numRef>
          </c:val>
          <c:smooth val="1"/>
        </c:ser>
        <c:axId val="1230773605"/>
        <c:axId val="333764419"/>
      </c:lineChart>
      <c:catAx>
        <c:axId val="12307736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Màn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33764419"/>
      </c:catAx>
      <c:valAx>
        <c:axId val="3337644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Biên tha thứ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3077360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Beat chart liên tục — 93 wave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BEAT (0–100)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CALC!$D$57:$D$149</c:f>
            </c:strRef>
          </c:cat>
          <c:val>
            <c:numRef>
              <c:f>CALC!$L$57:$L$149</c:f>
              <c:numCache/>
            </c:numRef>
          </c:val>
          <c:smooth val="1"/>
        </c:ser>
        <c:axId val="1013983075"/>
        <c:axId val="2126462054"/>
      </c:lineChart>
      <c:catAx>
        <c:axId val="10139830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Wave thứ (toàn game)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126462054"/>
      </c:catAx>
      <c:valAx>
        <c:axId val="21264620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BEAT (0–100)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1398307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Mật độ spawn vs nhịp nguồn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Mật độ spawn (địch/giây)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CALC!$A$154:$A$163</c:f>
            </c:strRef>
          </c:cat>
          <c:val>
            <c:numRef>
              <c:f>CALC!$M$154:$M$163</c:f>
              <c:numCache/>
            </c:numRef>
          </c:val>
          <c:smooth val="1"/>
        </c:ser>
        <c:axId val="1465370126"/>
        <c:axId val="167532621"/>
      </c:lineChart>
      <c:catAx>
        <c:axId val="14653701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Màn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7532621"/>
      </c:catAx>
      <c:valAx>
        <c:axId val="1675326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Đơn vị / giây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6537012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Thu nhập theo màn vs mốc mua hết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TỔNG THU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ECONOMY!$A$18:$A$27</c:f>
            </c:strRef>
          </c:cat>
          <c:val>
            <c:numRef>
              <c:f>ECONOMY!$F$18:$F$27</c:f>
              <c:numCache/>
            </c:numRef>
          </c:val>
          <c:smooth val="1"/>
        </c:ser>
        <c:axId val="673239420"/>
        <c:axId val="204058382"/>
      </c:lineChart>
      <c:catAx>
        <c:axId val="6732394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Màn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4058382"/>
      </c:catAx>
      <c:valAx>
        <c:axId val="2040583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Vàng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73239420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Độ dai TB mỗi con theo màn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Độ dai TB mỗi con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CALC!$A$154:$A$163</c:f>
            </c:strRef>
          </c:cat>
          <c:val>
            <c:numRef>
              <c:f>CALC!$K$154:$K$163</c:f>
              <c:numCache/>
            </c:numRef>
          </c:val>
          <c:smooth val="1"/>
        </c:ser>
        <c:axId val="15147252"/>
        <c:axId val="1907898286"/>
      </c:lineChart>
      <c:catAx>
        <c:axId val="151472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Màn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07898286"/>
      </c:catAx>
      <c:valAx>
        <c:axId val="19078982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HP ÷ phơi nhiễm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14725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Win rate mục tiêu vs biên tha thứ</a:t>
            </a:r>
          </a:p>
        </c:rich>
      </c:tx>
      <c:overlay val="0"/>
    </c:title>
    <c:plotArea>
      <c:layout/>
      <c:lineChart>
        <c:ser>
          <c:idx val="0"/>
          <c:order val="0"/>
          <c:tx>
            <c:v>Win rate mục tiêu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CALC!$A$154:$A$163</c:f>
            </c:strRef>
          </c:cat>
          <c:val>
            <c:numRef>
              <c:f>CALC!$R$154:$R$163</c:f>
              <c:numCache/>
            </c:numRef>
          </c:val>
          <c:smooth val="1"/>
        </c:ser>
        <c:ser>
          <c:idx val="1"/>
          <c:order val="1"/>
          <c:tx>
            <c:v>BIÊN THA THỨ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CALC!$A$154:$A$163</c:f>
            </c:strRef>
          </c:cat>
          <c:val>
            <c:numRef>
              <c:f>CALC!$H$154:$H$163</c:f>
              <c:numCache/>
            </c:numRef>
          </c:val>
          <c:smooth val="1"/>
        </c:ser>
        <c:axId val="811570807"/>
        <c:axId val="1273435671"/>
      </c:lineChart>
      <c:catAx>
        <c:axId val="8115708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Màn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73435671"/>
      </c:catAx>
      <c:valAx>
        <c:axId val="12734356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1157080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29</xdr:row>
      <xdr:rowOff>152400</xdr:rowOff>
    </xdr:from>
    <xdr:ext cx="10287000" cy="26574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47</xdr:row>
      <xdr:rowOff>85725</xdr:rowOff>
    </xdr:from>
    <xdr:ext cx="10287000" cy="30765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67</xdr:row>
      <xdr:rowOff>85725</xdr:rowOff>
    </xdr:from>
    <xdr:ext cx="10287000" cy="30765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87</xdr:row>
      <xdr:rowOff>95250</xdr:rowOff>
    </xdr:from>
    <xdr:ext cx="10287000" cy="307657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107</xdr:row>
      <xdr:rowOff>85725</xdr:rowOff>
    </xdr:from>
    <xdr:ext cx="10287000" cy="307657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0</xdr:colOff>
      <xdr:row>127</xdr:row>
      <xdr:rowOff>85725</xdr:rowOff>
    </xdr:from>
    <xdr:ext cx="10287000" cy="307657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6.0"/>
    <col customWidth="1" min="2" max="2" width="22.0"/>
    <col customWidth="1" min="3" max="5" width="10.0"/>
    <col customWidth="1" min="6" max="6" width="14.0"/>
    <col customWidth="1" min="7" max="7" width="20.0"/>
    <col customWidth="1" min="8" max="8" width="17.0"/>
    <col customWidth="1" min="9" max="9" width="13.0"/>
    <col customWidth="1" min="10" max="10" width="15.0"/>
    <col customWidth="1" min="11" max="15" width="13.0"/>
    <col customWidth="1" min="16" max="16" width="22.0"/>
    <col customWidth="1" min="17" max="29" width="8.57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/>
    <row r="4" ht="14.25" customHeight="1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ht="33.75" customHeight="1">
      <c r="A5" s="5" t="s">
        <v>3</v>
      </c>
      <c r="B5" s="5" t="s">
        <v>4</v>
      </c>
      <c r="C5" s="5" t="s">
        <v>5</v>
      </c>
      <c r="D5" s="5"/>
    </row>
    <row r="6" ht="14.25" customHeight="1">
      <c r="A6" s="6" t="s">
        <v>6</v>
      </c>
      <c r="B6" s="7">
        <v>0.7</v>
      </c>
      <c r="C6" s="8" t="s">
        <v>7</v>
      </c>
      <c r="D6" s="9"/>
    </row>
    <row r="7" ht="14.25" customHeight="1">
      <c r="A7" s="6" t="s">
        <v>8</v>
      </c>
      <c r="B7" s="10">
        <v>3.0</v>
      </c>
      <c r="C7" s="8" t="s">
        <v>9</v>
      </c>
      <c r="D7" s="9"/>
    </row>
    <row r="8" ht="14.25" customHeight="1">
      <c r="A8" s="6" t="s">
        <v>10</v>
      </c>
      <c r="B8" s="7">
        <v>0.1</v>
      </c>
      <c r="C8" s="8" t="s">
        <v>11</v>
      </c>
      <c r="D8" s="9"/>
    </row>
    <row r="9" ht="14.25" customHeight="1">
      <c r="A9" s="6" t="s">
        <v>12</v>
      </c>
      <c r="B9" s="7">
        <v>0.075</v>
      </c>
      <c r="C9" s="8" t="s">
        <v>7</v>
      </c>
      <c r="D9" s="9"/>
    </row>
    <row r="10" ht="14.25" customHeight="1">
      <c r="A10" s="6" t="s">
        <v>13</v>
      </c>
      <c r="B10" s="10">
        <v>0.0</v>
      </c>
      <c r="C10" s="8" t="s">
        <v>14</v>
      </c>
      <c r="D10" s="9"/>
    </row>
    <row r="11" ht="14.25" customHeight="1">
      <c r="A11" s="6" t="s">
        <v>15</v>
      </c>
      <c r="B11" s="10">
        <v>10.0</v>
      </c>
      <c r="C11" s="8" t="s">
        <v>16</v>
      </c>
      <c r="D11" s="9"/>
    </row>
    <row r="12" ht="14.25" customHeight="1">
      <c r="A12" s="6" t="s">
        <v>17</v>
      </c>
      <c r="B12" s="7">
        <v>1.3</v>
      </c>
      <c r="C12" s="8" t="s">
        <v>18</v>
      </c>
      <c r="D12" s="9"/>
    </row>
    <row r="13" ht="14.25" customHeight="1">
      <c r="A13" s="6" t="s">
        <v>19</v>
      </c>
      <c r="B13" s="7">
        <v>9.5</v>
      </c>
      <c r="C13" s="8" t="s">
        <v>20</v>
      </c>
      <c r="D13" s="9"/>
    </row>
    <row r="14" ht="14.25" customHeight="1">
      <c r="A14" s="6" t="s">
        <v>21</v>
      </c>
      <c r="B14" s="7">
        <v>0.8</v>
      </c>
      <c r="C14" s="8" t="s">
        <v>9</v>
      </c>
      <c r="D14" s="9"/>
    </row>
    <row r="15" ht="14.25" customHeight="1">
      <c r="A15" s="6" t="s">
        <v>22</v>
      </c>
      <c r="B15" s="7">
        <v>1.5</v>
      </c>
      <c r="C15" s="8" t="s">
        <v>18</v>
      </c>
      <c r="D15" s="9"/>
    </row>
    <row r="16" ht="14.25" customHeight="1">
      <c r="A16" s="6" t="s">
        <v>23</v>
      </c>
      <c r="B16" s="7">
        <v>0.375</v>
      </c>
      <c r="C16" s="8" t="s">
        <v>18</v>
      </c>
      <c r="D16" s="9"/>
    </row>
    <row r="17" ht="14.25" customHeight="1">
      <c r="A17" s="6" t="s">
        <v>24</v>
      </c>
      <c r="B17" s="7">
        <v>1.0</v>
      </c>
      <c r="C17" s="8" t="s">
        <v>9</v>
      </c>
      <c r="D17" s="9"/>
    </row>
    <row r="18" ht="14.25" customHeight="1">
      <c r="A18" s="6" t="s">
        <v>25</v>
      </c>
      <c r="B18" s="7">
        <v>0.62</v>
      </c>
      <c r="C18" s="8" t="s">
        <v>7</v>
      </c>
      <c r="D18" s="9"/>
    </row>
    <row r="19" ht="14.25" customHeight="1">
      <c r="A19" s="6" t="s">
        <v>26</v>
      </c>
      <c r="B19" s="7">
        <v>0.34</v>
      </c>
      <c r="C19" s="8" t="s">
        <v>7</v>
      </c>
      <c r="D19" s="9"/>
    </row>
    <row r="20" ht="14.25" customHeight="1"/>
    <row r="21" ht="14.25" customHeight="1">
      <c r="A21" s="3" t="s">
        <v>27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ht="14.25" customHeight="1">
      <c r="A22" s="2" t="s">
        <v>28</v>
      </c>
    </row>
    <row r="23" ht="33.75" customHeight="1">
      <c r="A23" s="5" t="s">
        <v>29</v>
      </c>
      <c r="B23" s="5" t="s">
        <v>30</v>
      </c>
      <c r="C23" s="5" t="s">
        <v>31</v>
      </c>
      <c r="D23" s="5" t="s">
        <v>32</v>
      </c>
      <c r="E23" s="5" t="s">
        <v>33</v>
      </c>
      <c r="F23" s="5" t="s">
        <v>34</v>
      </c>
      <c r="G23" s="5" t="s">
        <v>35</v>
      </c>
      <c r="H23" s="5" t="s">
        <v>36</v>
      </c>
      <c r="I23" s="5" t="s">
        <v>37</v>
      </c>
      <c r="J23" s="5" t="s">
        <v>38</v>
      </c>
      <c r="K23" s="5" t="s">
        <v>39</v>
      </c>
      <c r="L23" s="5" t="s">
        <v>40</v>
      </c>
      <c r="M23" s="5" t="s">
        <v>41</v>
      </c>
      <c r="N23" s="5" t="s">
        <v>42</v>
      </c>
      <c r="O23" s="5" t="s">
        <v>43</v>
      </c>
      <c r="P23" s="5" t="s">
        <v>44</v>
      </c>
    </row>
    <row r="24" ht="14.25" customHeight="1">
      <c r="A24" s="6" t="s">
        <v>45</v>
      </c>
      <c r="B24" s="8" t="s">
        <v>46</v>
      </c>
      <c r="C24" s="10">
        <v>0.0</v>
      </c>
      <c r="D24" s="10">
        <v>1.0</v>
      </c>
      <c r="E24" s="10">
        <v>0.0</v>
      </c>
      <c r="F24" s="10">
        <v>0.0</v>
      </c>
      <c r="G24" s="11">
        <v>0.65</v>
      </c>
      <c r="H24" s="11">
        <v>1.0</v>
      </c>
      <c r="I24" s="10">
        <v>220.0</v>
      </c>
      <c r="J24" s="10">
        <v>0.0</v>
      </c>
      <c r="K24" s="10">
        <v>1.0</v>
      </c>
      <c r="L24" s="12">
        <v>5.0</v>
      </c>
      <c r="M24" s="12">
        <v>0.0</v>
      </c>
      <c r="N24" s="11">
        <v>0.0</v>
      </c>
      <c r="O24" s="12">
        <v>0.0</v>
      </c>
      <c r="P24" s="8" t="s">
        <v>47</v>
      </c>
    </row>
    <row r="25" ht="14.25" customHeight="1">
      <c r="A25" s="6" t="s">
        <v>48</v>
      </c>
      <c r="B25" s="8" t="s">
        <v>49</v>
      </c>
      <c r="C25" s="10">
        <v>1.0</v>
      </c>
      <c r="D25" s="10">
        <v>1.0</v>
      </c>
      <c r="E25" s="10">
        <v>3.0</v>
      </c>
      <c r="F25" s="10">
        <v>1.0</v>
      </c>
      <c r="G25" s="11">
        <v>0.85</v>
      </c>
      <c r="H25" s="11">
        <v>0.85</v>
      </c>
      <c r="I25" s="10">
        <v>200.0</v>
      </c>
      <c r="J25" s="10">
        <v>0.0</v>
      </c>
      <c r="K25" s="10">
        <v>1.0</v>
      </c>
      <c r="L25" s="12">
        <v>10.0</v>
      </c>
      <c r="M25" s="12">
        <v>2.0</v>
      </c>
      <c r="N25" s="11">
        <v>0.5</v>
      </c>
      <c r="O25" s="12">
        <v>2.0</v>
      </c>
      <c r="P25" s="8" t="s">
        <v>50</v>
      </c>
    </row>
    <row r="26" ht="14.25" customHeight="1">
      <c r="A26" s="6" t="s">
        <v>51</v>
      </c>
      <c r="B26" s="8" t="s">
        <v>52</v>
      </c>
      <c r="C26" s="10">
        <v>1.0</v>
      </c>
      <c r="D26" s="10">
        <v>1.0</v>
      </c>
      <c r="E26" s="10">
        <v>3.0</v>
      </c>
      <c r="F26" s="10">
        <v>1.0</v>
      </c>
      <c r="G26" s="11">
        <v>0.85</v>
      </c>
      <c r="H26" s="11">
        <v>0.85</v>
      </c>
      <c r="I26" s="10">
        <v>200.0</v>
      </c>
      <c r="J26" s="10">
        <v>0.0</v>
      </c>
      <c r="K26" s="10">
        <v>1.0</v>
      </c>
      <c r="L26" s="12">
        <v>0.0</v>
      </c>
      <c r="M26" s="12">
        <v>0.0</v>
      </c>
      <c r="N26" s="11">
        <v>0.0</v>
      </c>
      <c r="O26" s="12">
        <v>0.0</v>
      </c>
      <c r="P26" s="8" t="s">
        <v>53</v>
      </c>
    </row>
    <row r="27" ht="14.25" customHeight="1">
      <c r="A27" s="6" t="s">
        <v>54</v>
      </c>
      <c r="B27" s="8" t="s">
        <v>55</v>
      </c>
      <c r="C27" s="10">
        <v>1.0</v>
      </c>
      <c r="D27" s="10">
        <v>1.0</v>
      </c>
      <c r="E27" s="10">
        <v>5.0</v>
      </c>
      <c r="F27" s="10">
        <v>1.0</v>
      </c>
      <c r="G27" s="11">
        <v>0.65</v>
      </c>
      <c r="H27" s="11">
        <v>0.65</v>
      </c>
      <c r="I27" s="10">
        <v>200.0</v>
      </c>
      <c r="J27" s="10">
        <v>0.0</v>
      </c>
      <c r="K27" s="10">
        <v>1.0</v>
      </c>
      <c r="L27" s="12">
        <v>5.0</v>
      </c>
      <c r="M27" s="12">
        <v>0.0</v>
      </c>
      <c r="N27" s="11">
        <v>0.0</v>
      </c>
      <c r="O27" s="12">
        <v>0.0</v>
      </c>
      <c r="P27" s="8" t="s">
        <v>56</v>
      </c>
    </row>
    <row r="28" ht="14.25" customHeight="1">
      <c r="A28" s="6" t="s">
        <v>57</v>
      </c>
      <c r="B28" s="8" t="s">
        <v>58</v>
      </c>
      <c r="C28" s="10">
        <v>0.0</v>
      </c>
      <c r="D28" s="10">
        <v>1.0</v>
      </c>
      <c r="E28" s="10">
        <v>0.0</v>
      </c>
      <c r="F28" s="10">
        <v>0.0</v>
      </c>
      <c r="G28" s="11">
        <v>2.0</v>
      </c>
      <c r="H28" s="11">
        <v>2.0</v>
      </c>
      <c r="I28" s="10">
        <v>300.0</v>
      </c>
      <c r="J28" s="10">
        <v>1.0</v>
      </c>
      <c r="K28" s="10">
        <v>1.0</v>
      </c>
      <c r="L28" s="12">
        <v>20.0</v>
      </c>
      <c r="M28" s="12">
        <v>0.0</v>
      </c>
      <c r="N28" s="11">
        <v>0.0</v>
      </c>
      <c r="O28" s="12">
        <v>0.0</v>
      </c>
      <c r="P28" s="8" t="s">
        <v>59</v>
      </c>
    </row>
    <row r="29" ht="14.25" customHeight="1">
      <c r="A29" s="6" t="s">
        <v>60</v>
      </c>
      <c r="B29" s="8" t="s">
        <v>61</v>
      </c>
      <c r="C29" s="10">
        <v>2.0</v>
      </c>
      <c r="D29" s="10">
        <v>0.0</v>
      </c>
      <c r="E29" s="10">
        <v>4.0</v>
      </c>
      <c r="F29" s="10">
        <v>1.0</v>
      </c>
      <c r="G29" s="11">
        <v>0.45</v>
      </c>
      <c r="H29" s="11">
        <v>0.45</v>
      </c>
      <c r="I29" s="10">
        <v>0.0</v>
      </c>
      <c r="J29" s="10">
        <v>1.0</v>
      </c>
      <c r="K29" s="10">
        <v>0.0</v>
      </c>
      <c r="L29" s="12">
        <v>0.0</v>
      </c>
      <c r="M29" s="12">
        <v>0.0</v>
      </c>
      <c r="N29" s="11">
        <v>0.0</v>
      </c>
      <c r="O29" s="12">
        <v>0.0</v>
      </c>
      <c r="P29" s="8" t="s">
        <v>62</v>
      </c>
    </row>
    <row r="30" ht="14.25" customHeight="1"/>
    <row r="31" ht="14.25" customHeight="1">
      <c r="A31" s="3" t="s">
        <v>63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ht="14.25" customHeight="1">
      <c r="A32" s="2" t="s">
        <v>64</v>
      </c>
    </row>
    <row r="33" ht="33.75" customHeight="1">
      <c r="A33" s="5" t="s">
        <v>65</v>
      </c>
      <c r="B33" s="5" t="s">
        <v>66</v>
      </c>
      <c r="C33" s="5" t="s">
        <v>67</v>
      </c>
      <c r="D33" s="5" t="s">
        <v>68</v>
      </c>
      <c r="E33" s="5" t="s">
        <v>69</v>
      </c>
      <c r="F33" s="5" t="s">
        <v>70</v>
      </c>
      <c r="G33" s="5" t="s">
        <v>71</v>
      </c>
      <c r="H33" s="5" t="s">
        <v>41</v>
      </c>
      <c r="I33" s="5" t="s">
        <v>42</v>
      </c>
      <c r="J33" s="5" t="s">
        <v>72</v>
      </c>
      <c r="K33" s="5" t="s">
        <v>73</v>
      </c>
      <c r="L33" s="5" t="s">
        <v>74</v>
      </c>
      <c r="M33" s="5" t="s">
        <v>75</v>
      </c>
    </row>
    <row r="34" ht="14.25" customHeight="1">
      <c r="A34" s="6" t="s">
        <v>76</v>
      </c>
      <c r="B34" s="8">
        <v>1.0</v>
      </c>
      <c r="C34" s="10">
        <v>280.0</v>
      </c>
      <c r="D34" s="11">
        <v>1.35</v>
      </c>
      <c r="E34" s="12">
        <v>0.0</v>
      </c>
      <c r="F34" s="7">
        <v>0.0</v>
      </c>
      <c r="G34" s="12">
        <v>0.0</v>
      </c>
      <c r="H34" s="12">
        <v>2.0</v>
      </c>
      <c r="I34" s="11">
        <v>0.5</v>
      </c>
      <c r="J34" s="12">
        <v>2.0</v>
      </c>
      <c r="K34" s="10">
        <v>1.0</v>
      </c>
      <c r="L34" s="8" t="s">
        <v>16</v>
      </c>
      <c r="M34" s="6" t="s">
        <v>77</v>
      </c>
    </row>
    <row r="35" ht="14.25" customHeight="1">
      <c r="A35" s="6" t="s">
        <v>76</v>
      </c>
      <c r="B35" s="8">
        <v>2.0</v>
      </c>
      <c r="C35" s="10">
        <v>420.0</v>
      </c>
      <c r="D35" s="11">
        <v>1.7</v>
      </c>
      <c r="E35" s="12">
        <v>0.0</v>
      </c>
      <c r="F35" s="7">
        <v>0.0</v>
      </c>
      <c r="G35" s="12">
        <v>0.0</v>
      </c>
      <c r="H35" s="12">
        <v>4.0</v>
      </c>
      <c r="I35" s="11">
        <v>0.5</v>
      </c>
      <c r="J35" s="12">
        <v>3.0</v>
      </c>
      <c r="K35" s="10">
        <v>2.0</v>
      </c>
      <c r="L35" s="8" t="s">
        <v>16</v>
      </c>
      <c r="M35" s="6" t="s">
        <v>77</v>
      </c>
    </row>
    <row r="36" ht="14.25" customHeight="1">
      <c r="A36" s="6" t="s">
        <v>76</v>
      </c>
      <c r="B36" s="8">
        <v>3.0</v>
      </c>
      <c r="C36" s="10">
        <v>560.0</v>
      </c>
      <c r="D36" s="11">
        <v>1.7</v>
      </c>
      <c r="E36" s="12">
        <v>0.0</v>
      </c>
      <c r="F36" s="7">
        <v>0.0</v>
      </c>
      <c r="G36" s="12">
        <v>0.0</v>
      </c>
      <c r="H36" s="12">
        <v>4.0</v>
      </c>
      <c r="I36" s="11">
        <v>0.5</v>
      </c>
      <c r="J36" s="12">
        <v>3.0</v>
      </c>
      <c r="K36" s="10">
        <v>5.0</v>
      </c>
      <c r="L36" s="8" t="s">
        <v>78</v>
      </c>
      <c r="M36" s="13" t="s">
        <v>79</v>
      </c>
    </row>
    <row r="37" ht="14.25" customHeight="1">
      <c r="A37" s="6" t="s">
        <v>80</v>
      </c>
      <c r="B37" s="8">
        <v>1.0</v>
      </c>
      <c r="C37" s="10">
        <v>280.0</v>
      </c>
      <c r="D37" s="11">
        <v>1.0</v>
      </c>
      <c r="E37" s="12">
        <v>0.0</v>
      </c>
      <c r="F37" s="7">
        <v>0.304</v>
      </c>
      <c r="G37" s="12">
        <v>3.0</v>
      </c>
      <c r="H37" s="12">
        <v>0.0</v>
      </c>
      <c r="I37" s="11">
        <v>0.0</v>
      </c>
      <c r="J37" s="12">
        <v>0.0</v>
      </c>
      <c r="K37" s="10">
        <v>1.0</v>
      </c>
      <c r="L37" s="8" t="s">
        <v>16</v>
      </c>
      <c r="M37" s="6" t="s">
        <v>77</v>
      </c>
    </row>
    <row r="38" ht="14.25" customHeight="1">
      <c r="A38" s="6" t="s">
        <v>80</v>
      </c>
      <c r="B38" s="8">
        <v>2.0</v>
      </c>
      <c r="C38" s="10">
        <v>420.0</v>
      </c>
      <c r="D38" s="11">
        <v>1.0</v>
      </c>
      <c r="E38" s="12">
        <v>0.0</v>
      </c>
      <c r="F38" s="7">
        <v>0.304</v>
      </c>
      <c r="G38" s="12">
        <v>4.0</v>
      </c>
      <c r="H38" s="12">
        <v>0.0</v>
      </c>
      <c r="I38" s="11">
        <v>0.0</v>
      </c>
      <c r="J38" s="12">
        <v>0.0</v>
      </c>
      <c r="K38" s="10">
        <v>2.0</v>
      </c>
      <c r="L38" s="8" t="s">
        <v>16</v>
      </c>
      <c r="M38" s="6" t="s">
        <v>77</v>
      </c>
    </row>
    <row r="39" ht="14.25" customHeight="1">
      <c r="A39" s="6" t="s">
        <v>80</v>
      </c>
      <c r="B39" s="8">
        <v>3.0</v>
      </c>
      <c r="C39" s="10">
        <v>490.0</v>
      </c>
      <c r="D39" s="11">
        <v>1.0</v>
      </c>
      <c r="E39" s="12">
        <v>0.0</v>
      </c>
      <c r="F39" s="7">
        <v>0.45</v>
      </c>
      <c r="G39" s="12">
        <v>4.0</v>
      </c>
      <c r="H39" s="12">
        <v>0.0</v>
      </c>
      <c r="I39" s="11">
        <v>0.0</v>
      </c>
      <c r="J39" s="12">
        <v>0.0</v>
      </c>
      <c r="K39" s="10">
        <v>6.0</v>
      </c>
      <c r="L39" s="8" t="s">
        <v>81</v>
      </c>
      <c r="M39" s="13" t="s">
        <v>79</v>
      </c>
    </row>
    <row r="40" ht="14.25" customHeight="1">
      <c r="A40" s="6" t="s">
        <v>82</v>
      </c>
      <c r="B40" s="8">
        <v>1.0</v>
      </c>
      <c r="C40" s="10">
        <v>280.0</v>
      </c>
      <c r="D40" s="11">
        <v>1.2</v>
      </c>
      <c r="E40" s="12">
        <v>0.6</v>
      </c>
      <c r="F40" s="7">
        <v>0.0</v>
      </c>
      <c r="G40" s="12">
        <v>0.0</v>
      </c>
      <c r="H40" s="12">
        <v>0.0</v>
      </c>
      <c r="I40" s="11">
        <v>0.0</v>
      </c>
      <c r="J40" s="12">
        <v>0.0</v>
      </c>
      <c r="K40" s="10">
        <v>3.0</v>
      </c>
      <c r="L40" s="8" t="s">
        <v>16</v>
      </c>
      <c r="M40" s="6" t="s">
        <v>77</v>
      </c>
    </row>
    <row r="41" ht="14.25" customHeight="1">
      <c r="A41" s="6" t="s">
        <v>82</v>
      </c>
      <c r="B41" s="8">
        <v>2.0</v>
      </c>
      <c r="C41" s="10">
        <v>350.0</v>
      </c>
      <c r="D41" s="11">
        <v>1.3</v>
      </c>
      <c r="E41" s="12">
        <v>0.7</v>
      </c>
      <c r="F41" s="7">
        <v>0.0</v>
      </c>
      <c r="G41" s="12">
        <v>0.0</v>
      </c>
      <c r="H41" s="12">
        <v>0.0</v>
      </c>
      <c r="I41" s="11">
        <v>0.0</v>
      </c>
      <c r="J41" s="12">
        <v>0.0</v>
      </c>
      <c r="K41" s="10">
        <v>3.0</v>
      </c>
      <c r="L41" s="8" t="s">
        <v>16</v>
      </c>
      <c r="M41" s="6" t="s">
        <v>77</v>
      </c>
    </row>
    <row r="42" ht="14.25" customHeight="1">
      <c r="A42" s="6" t="s">
        <v>82</v>
      </c>
      <c r="B42" s="8">
        <v>3.0</v>
      </c>
      <c r="C42" s="10">
        <v>420.0</v>
      </c>
      <c r="D42" s="11">
        <v>1.3</v>
      </c>
      <c r="E42" s="12">
        <v>0.8</v>
      </c>
      <c r="F42" s="7">
        <v>0.0</v>
      </c>
      <c r="G42" s="12">
        <v>0.0</v>
      </c>
      <c r="H42" s="12">
        <v>0.0</v>
      </c>
      <c r="I42" s="11">
        <v>0.0</v>
      </c>
      <c r="J42" s="12">
        <v>0.0</v>
      </c>
      <c r="K42" s="10">
        <v>7.0</v>
      </c>
      <c r="L42" s="8" t="s">
        <v>83</v>
      </c>
      <c r="M42" s="13" t="s">
        <v>79</v>
      </c>
    </row>
    <row r="43" ht="14.25" customHeight="1"/>
    <row r="44" ht="14.25" customHeight="1">
      <c r="A44" s="3" t="s">
        <v>84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ht="33.75" customHeight="1">
      <c r="A45" s="5" t="s">
        <v>85</v>
      </c>
      <c r="B45" s="5" t="s">
        <v>4</v>
      </c>
      <c r="C45" s="5" t="s">
        <v>5</v>
      </c>
      <c r="D45" s="5" t="s">
        <v>86</v>
      </c>
    </row>
    <row r="46" ht="14.25" customHeight="1">
      <c r="A46" s="6" t="s">
        <v>87</v>
      </c>
      <c r="B46" s="7">
        <v>0.304</v>
      </c>
      <c r="C46" s="8" t="s">
        <v>7</v>
      </c>
      <c r="D46" s="9" t="s">
        <v>88</v>
      </c>
    </row>
    <row r="47" ht="14.25" customHeight="1">
      <c r="A47" s="6" t="s">
        <v>89</v>
      </c>
      <c r="B47" s="7">
        <v>2.0</v>
      </c>
      <c r="C47" s="8" t="s">
        <v>9</v>
      </c>
      <c r="D47" s="9" t="s">
        <v>90</v>
      </c>
    </row>
    <row r="48" ht="14.25" customHeight="1">
      <c r="A48" s="6" t="s">
        <v>91</v>
      </c>
      <c r="B48" s="7">
        <v>0.5</v>
      </c>
      <c r="C48" s="8" t="s">
        <v>20</v>
      </c>
      <c r="D48" s="9" t="s">
        <v>90</v>
      </c>
    </row>
    <row r="49" ht="14.25" customHeight="1">
      <c r="A49" s="6" t="s">
        <v>92</v>
      </c>
      <c r="B49" s="10">
        <v>1.0</v>
      </c>
      <c r="C49" s="8" t="s">
        <v>93</v>
      </c>
      <c r="D49" s="9" t="s">
        <v>94</v>
      </c>
    </row>
    <row r="50" ht="14.25" customHeight="1">
      <c r="A50" s="6" t="s">
        <v>95</v>
      </c>
      <c r="B50" s="10">
        <v>1.0</v>
      </c>
      <c r="C50" s="8" t="s">
        <v>93</v>
      </c>
      <c r="D50" s="9" t="s">
        <v>96</v>
      </c>
    </row>
    <row r="51" ht="14.25" customHeight="1">
      <c r="A51" s="6" t="s">
        <v>97</v>
      </c>
      <c r="B51" s="10">
        <v>1.0</v>
      </c>
      <c r="C51" s="8" t="s">
        <v>93</v>
      </c>
      <c r="D51" s="9" t="s">
        <v>98</v>
      </c>
    </row>
    <row r="52" ht="14.25" customHeight="1">
      <c r="A52" s="6" t="s">
        <v>99</v>
      </c>
      <c r="B52" s="10">
        <v>0.0</v>
      </c>
      <c r="C52" s="8" t="s">
        <v>100</v>
      </c>
      <c r="D52" s="9" t="s">
        <v>101</v>
      </c>
    </row>
    <row r="53" ht="14.25" customHeight="1"/>
    <row r="54" ht="14.25" customHeight="1">
      <c r="A54" s="3" t="s">
        <v>102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ht="14.25" customHeight="1">
      <c r="A55" s="2" t="s">
        <v>103</v>
      </c>
    </row>
    <row r="56" ht="33.75" customHeight="1">
      <c r="A56" s="5" t="s">
        <v>104</v>
      </c>
      <c r="B56" s="5" t="s">
        <v>105</v>
      </c>
      <c r="C56" s="5" t="s">
        <v>106</v>
      </c>
      <c r="D56" s="5" t="s">
        <v>107</v>
      </c>
      <c r="E56" s="5" t="s">
        <v>108</v>
      </c>
      <c r="F56" s="5" t="s">
        <v>109</v>
      </c>
      <c r="G56" s="5" t="s">
        <v>110</v>
      </c>
      <c r="H56" s="5" t="s">
        <v>111</v>
      </c>
      <c r="I56" s="5" t="s">
        <v>112</v>
      </c>
    </row>
    <row r="57" ht="14.25" customHeight="1">
      <c r="A57" s="6" t="s">
        <v>113</v>
      </c>
      <c r="B57" s="8" t="s">
        <v>114</v>
      </c>
      <c r="C57" s="10">
        <v>20.0</v>
      </c>
      <c r="D57" s="11">
        <v>2.0</v>
      </c>
      <c r="E57" s="14">
        <v>1.0877</v>
      </c>
      <c r="F57" s="8" t="s">
        <v>16</v>
      </c>
      <c r="G57" s="10">
        <v>10.0</v>
      </c>
      <c r="H57" s="10">
        <v>1.0</v>
      </c>
      <c r="I57" s="10">
        <v>1.0</v>
      </c>
    </row>
    <row r="58" ht="14.25" customHeight="1">
      <c r="A58" s="6" t="s">
        <v>115</v>
      </c>
      <c r="B58" s="8" t="s">
        <v>116</v>
      </c>
      <c r="C58" s="10">
        <v>30.0</v>
      </c>
      <c r="D58" s="11">
        <v>1.7</v>
      </c>
      <c r="E58" s="14">
        <v>0.7954</v>
      </c>
      <c r="F58" s="8" t="s">
        <v>16</v>
      </c>
      <c r="G58" s="10">
        <v>18.0</v>
      </c>
      <c r="H58" s="10">
        <v>1.0</v>
      </c>
      <c r="I58" s="10">
        <v>1.0</v>
      </c>
    </row>
    <row r="59" ht="14.25" customHeight="1">
      <c r="A59" s="6" t="s">
        <v>117</v>
      </c>
      <c r="B59" s="8" t="s">
        <v>118</v>
      </c>
      <c r="C59" s="10">
        <v>30.0</v>
      </c>
      <c r="D59" s="11">
        <v>1.8</v>
      </c>
      <c r="E59" s="14">
        <v>0.371</v>
      </c>
      <c r="F59" s="8" t="s">
        <v>119</v>
      </c>
      <c r="G59" s="10">
        <v>30.0</v>
      </c>
      <c r="H59" s="10">
        <v>1.0</v>
      </c>
      <c r="I59" s="10">
        <v>1.0</v>
      </c>
    </row>
    <row r="60" ht="14.25" customHeight="1">
      <c r="A60" s="6" t="s">
        <v>120</v>
      </c>
      <c r="B60" s="8" t="s">
        <v>121</v>
      </c>
      <c r="C60" s="10">
        <v>20.0</v>
      </c>
      <c r="D60" s="11">
        <v>2.0</v>
      </c>
      <c r="E60" s="14">
        <v>0.6651</v>
      </c>
      <c r="F60" s="8" t="s">
        <v>122</v>
      </c>
      <c r="G60" s="10">
        <v>15.0</v>
      </c>
      <c r="H60" s="10">
        <v>1.0</v>
      </c>
      <c r="I60" s="10">
        <v>1.0</v>
      </c>
    </row>
    <row r="61" ht="14.25" customHeight="1">
      <c r="A61" s="6" t="s">
        <v>123</v>
      </c>
      <c r="B61" s="8" t="s">
        <v>124</v>
      </c>
      <c r="C61" s="10">
        <v>10.0</v>
      </c>
      <c r="D61" s="11">
        <v>1.9</v>
      </c>
      <c r="E61" s="14">
        <v>0.85</v>
      </c>
      <c r="F61" s="8" t="s">
        <v>16</v>
      </c>
      <c r="G61" s="10">
        <v>14.0</v>
      </c>
      <c r="H61" s="10">
        <v>1.0</v>
      </c>
      <c r="I61" s="10">
        <v>1.0</v>
      </c>
    </row>
    <row r="62" ht="14.25" customHeight="1">
      <c r="A62" s="6" t="s">
        <v>125</v>
      </c>
      <c r="B62" s="8" t="s">
        <v>126</v>
      </c>
      <c r="C62" s="10">
        <v>160.0</v>
      </c>
      <c r="D62" s="11">
        <v>1.2</v>
      </c>
      <c r="E62" s="14">
        <v>0.5508</v>
      </c>
      <c r="F62" s="8" t="s">
        <v>16</v>
      </c>
      <c r="G62" s="10">
        <v>60.0</v>
      </c>
      <c r="H62" s="10">
        <v>2.0</v>
      </c>
      <c r="I62" s="10">
        <v>1.0</v>
      </c>
    </row>
    <row r="63" ht="14.25" customHeight="1">
      <c r="A63" s="6" t="s">
        <v>127</v>
      </c>
      <c r="B63" s="8" t="s">
        <v>128</v>
      </c>
      <c r="C63" s="10">
        <v>600.0</v>
      </c>
      <c r="D63" s="11">
        <v>0.8</v>
      </c>
      <c r="E63" s="14">
        <v>1.172</v>
      </c>
      <c r="F63" s="8" t="s">
        <v>129</v>
      </c>
      <c r="G63" s="10">
        <v>180.0</v>
      </c>
      <c r="H63" s="10">
        <v>3.0</v>
      </c>
      <c r="I63" s="10">
        <v>0.0</v>
      </c>
    </row>
    <row r="64" ht="14.25" customHeight="1"/>
    <row r="65" ht="14.25" customHeight="1">
      <c r="A65" s="3" t="s">
        <v>130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ht="33.75" customHeight="1">
      <c r="A66" s="5" t="s">
        <v>131</v>
      </c>
      <c r="B66" s="5" t="s">
        <v>132</v>
      </c>
      <c r="C66" s="5" t="s">
        <v>133</v>
      </c>
      <c r="D66" s="5" t="s">
        <v>134</v>
      </c>
      <c r="E66" s="5" t="s">
        <v>135</v>
      </c>
      <c r="F66" s="5" t="s">
        <v>136</v>
      </c>
      <c r="G66" s="5" t="s">
        <v>137</v>
      </c>
      <c r="H66" s="5" t="s">
        <v>138</v>
      </c>
      <c r="I66" s="5" t="s">
        <v>73</v>
      </c>
    </row>
    <row r="67" ht="14.25" customHeight="1">
      <c r="A67" s="6" t="s">
        <v>119</v>
      </c>
      <c r="B67" s="8" t="s">
        <v>139</v>
      </c>
      <c r="C67" s="8" t="s">
        <v>140</v>
      </c>
      <c r="D67" s="10">
        <v>12.0</v>
      </c>
      <c r="E67" s="11">
        <v>2.0</v>
      </c>
      <c r="F67" s="12">
        <v>0.0</v>
      </c>
      <c r="G67" s="11">
        <v>0.0</v>
      </c>
      <c r="H67" s="12">
        <v>0.0</v>
      </c>
      <c r="I67" s="10">
        <v>2.0</v>
      </c>
    </row>
    <row r="68" ht="14.25" customHeight="1">
      <c r="A68" s="6" t="s">
        <v>141</v>
      </c>
      <c r="B68" s="8" t="s">
        <v>142</v>
      </c>
      <c r="C68" s="8" t="s">
        <v>143</v>
      </c>
      <c r="D68" s="10">
        <v>0.0</v>
      </c>
      <c r="E68" s="11">
        <v>4.45</v>
      </c>
      <c r="F68" s="12">
        <v>1.0</v>
      </c>
      <c r="G68" s="11">
        <v>0.5</v>
      </c>
      <c r="H68" s="12">
        <v>2.0</v>
      </c>
      <c r="I68" s="10">
        <v>3.0</v>
      </c>
    </row>
    <row r="69" ht="14.25" customHeight="1">
      <c r="A69" s="6" t="s">
        <v>144</v>
      </c>
      <c r="B69" s="8" t="s">
        <v>145</v>
      </c>
      <c r="C69" s="8" t="s">
        <v>146</v>
      </c>
      <c r="D69" s="10">
        <v>0.0</v>
      </c>
      <c r="E69" s="11">
        <v>0.0</v>
      </c>
      <c r="F69" s="12">
        <v>0.0</v>
      </c>
      <c r="G69" s="11">
        <v>0.0</v>
      </c>
      <c r="H69" s="12">
        <v>2.5</v>
      </c>
      <c r="I69" s="10">
        <v>3.0</v>
      </c>
    </row>
    <row r="70" ht="14.25" customHeight="1"/>
    <row r="71" ht="14.25" customHeight="1">
      <c r="A71" s="3" t="s">
        <v>147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ht="14.25" customHeight="1">
      <c r="A72" s="2" t="s">
        <v>148</v>
      </c>
    </row>
    <row r="73" ht="33.75" customHeight="1">
      <c r="A73" s="5" t="s">
        <v>149</v>
      </c>
      <c r="B73" s="5" t="s">
        <v>150</v>
      </c>
      <c r="C73" s="5" t="s">
        <v>151</v>
      </c>
      <c r="D73" s="5" t="s">
        <v>152</v>
      </c>
      <c r="E73" s="5" t="s">
        <v>153</v>
      </c>
      <c r="F73" s="5" t="s">
        <v>154</v>
      </c>
      <c r="G73" s="5" t="s">
        <v>155</v>
      </c>
      <c r="H73" s="5" t="s">
        <v>156</v>
      </c>
    </row>
    <row r="74" ht="14.25" customHeight="1">
      <c r="A74" s="6">
        <v>1.0</v>
      </c>
      <c r="B74" s="8" t="s">
        <v>157</v>
      </c>
      <c r="C74" s="10">
        <v>20.0</v>
      </c>
      <c r="D74" s="10">
        <v>440.0</v>
      </c>
      <c r="E74" s="10">
        <v>8.0</v>
      </c>
      <c r="F74" s="10">
        <v>0.0</v>
      </c>
      <c r="G74" s="10">
        <v>1.0</v>
      </c>
      <c r="H74" s="15">
        <v>1.0</v>
      </c>
    </row>
    <row r="75" ht="14.25" customHeight="1">
      <c r="A75" s="6">
        <v>2.0</v>
      </c>
      <c r="B75" s="8" t="s">
        <v>158</v>
      </c>
      <c r="C75" s="10">
        <v>20.0</v>
      </c>
      <c r="D75" s="10">
        <v>440.0</v>
      </c>
      <c r="E75" s="10">
        <v>8.0</v>
      </c>
      <c r="F75" s="10">
        <v>0.0</v>
      </c>
      <c r="G75" s="10">
        <v>1.0</v>
      </c>
      <c r="H75" s="15">
        <v>1.0</v>
      </c>
    </row>
    <row r="76" ht="14.25" customHeight="1">
      <c r="A76" s="6">
        <v>3.0</v>
      </c>
      <c r="B76" s="8" t="s">
        <v>159</v>
      </c>
      <c r="C76" s="10">
        <v>15.0</v>
      </c>
      <c r="D76" s="10">
        <v>440.0</v>
      </c>
      <c r="E76" s="10">
        <v>10.0</v>
      </c>
      <c r="F76" s="10">
        <v>0.0</v>
      </c>
      <c r="G76" s="10">
        <v>1.0</v>
      </c>
      <c r="H76" s="15">
        <v>0.9</v>
      </c>
    </row>
    <row r="77" ht="14.25" customHeight="1">
      <c r="A77" s="6">
        <v>4.0</v>
      </c>
      <c r="B77" s="8" t="s">
        <v>160</v>
      </c>
      <c r="C77" s="10">
        <v>15.0</v>
      </c>
      <c r="D77" s="10">
        <v>440.0</v>
      </c>
      <c r="E77" s="10">
        <v>10.0</v>
      </c>
      <c r="F77" s="10">
        <v>0.0</v>
      </c>
      <c r="G77" s="10">
        <v>1.0</v>
      </c>
      <c r="H77" s="15">
        <v>0.85</v>
      </c>
    </row>
    <row r="78" ht="14.25" customHeight="1">
      <c r="A78" s="6">
        <v>5.0</v>
      </c>
      <c r="B78" s="8" t="s">
        <v>161</v>
      </c>
      <c r="C78" s="10">
        <v>10.0</v>
      </c>
      <c r="D78" s="10">
        <v>440.0</v>
      </c>
      <c r="E78" s="10">
        <v>10.0</v>
      </c>
      <c r="F78" s="10">
        <v>0.0</v>
      </c>
      <c r="G78" s="10">
        <v>1.0</v>
      </c>
      <c r="H78" s="15">
        <v>0.75</v>
      </c>
    </row>
    <row r="79" ht="14.25" customHeight="1">
      <c r="A79" s="6">
        <v>6.0</v>
      </c>
      <c r="B79" s="8" t="s">
        <v>162</v>
      </c>
      <c r="C79" s="10">
        <v>10.0</v>
      </c>
      <c r="D79" s="10">
        <v>440.0</v>
      </c>
      <c r="E79" s="10">
        <v>10.0</v>
      </c>
      <c r="F79" s="10">
        <v>0.0</v>
      </c>
      <c r="G79" s="10">
        <v>1.0</v>
      </c>
      <c r="H79" s="15">
        <v>0.7</v>
      </c>
    </row>
    <row r="80" ht="14.25" customHeight="1">
      <c r="A80" s="6">
        <v>7.0</v>
      </c>
      <c r="B80" s="8" t="s">
        <v>163</v>
      </c>
      <c r="C80" s="10">
        <v>10.0</v>
      </c>
      <c r="D80" s="10">
        <v>440.0</v>
      </c>
      <c r="E80" s="10">
        <v>10.0</v>
      </c>
      <c r="F80" s="10">
        <v>0.0</v>
      </c>
      <c r="G80" s="10">
        <v>1.0</v>
      </c>
      <c r="H80" s="15">
        <v>0.65</v>
      </c>
    </row>
    <row r="81" ht="14.25" customHeight="1">
      <c r="A81" s="6">
        <v>8.0</v>
      </c>
      <c r="B81" s="8" t="s">
        <v>164</v>
      </c>
      <c r="C81" s="10">
        <v>10.0</v>
      </c>
      <c r="D81" s="10">
        <v>440.0</v>
      </c>
      <c r="E81" s="10">
        <v>10.0</v>
      </c>
      <c r="F81" s="10">
        <v>0.0</v>
      </c>
      <c r="G81" s="10">
        <v>1.0</v>
      </c>
      <c r="H81" s="15">
        <v>0.55</v>
      </c>
    </row>
    <row r="82" ht="14.25" customHeight="1">
      <c r="A82" s="6">
        <v>9.0</v>
      </c>
      <c r="B82" s="8" t="s">
        <v>165</v>
      </c>
      <c r="C82" s="10">
        <v>10.0</v>
      </c>
      <c r="D82" s="10">
        <v>440.0</v>
      </c>
      <c r="E82" s="10">
        <v>7.0</v>
      </c>
      <c r="F82" s="10">
        <v>1.0</v>
      </c>
      <c r="G82" s="10">
        <v>1.0</v>
      </c>
      <c r="H82" s="15">
        <v>0.8</v>
      </c>
    </row>
    <row r="83" ht="14.25" customHeight="1">
      <c r="A83" s="6">
        <v>10.0</v>
      </c>
      <c r="B83" s="8" t="s">
        <v>166</v>
      </c>
      <c r="C83" s="10">
        <v>10.0</v>
      </c>
      <c r="D83" s="10">
        <v>440.0</v>
      </c>
      <c r="E83" s="10">
        <v>10.0</v>
      </c>
      <c r="F83" s="10">
        <v>0.0</v>
      </c>
      <c r="G83" s="10">
        <v>1.0</v>
      </c>
      <c r="H83" s="15">
        <v>0.4</v>
      </c>
    </row>
    <row r="84" ht="14.25" customHeight="1"/>
    <row r="85" ht="14.25" customHeight="1">
      <c r="A85" s="3" t="s">
        <v>167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ht="33.75" customHeight="1">
      <c r="A86" s="5" t="s">
        <v>168</v>
      </c>
      <c r="B86" s="5" t="s">
        <v>169</v>
      </c>
    </row>
    <row r="87" ht="14.25" customHeight="1">
      <c r="A87" s="6" t="s">
        <v>170</v>
      </c>
      <c r="B87" s="8" t="s">
        <v>171</v>
      </c>
    </row>
    <row r="88" ht="14.25" customHeight="1">
      <c r="A88" s="6" t="s">
        <v>172</v>
      </c>
      <c r="B88" s="8" t="s">
        <v>173</v>
      </c>
    </row>
    <row r="89" ht="14.25" customHeight="1">
      <c r="A89" s="6" t="s">
        <v>174</v>
      </c>
      <c r="B89" s="8" t="s">
        <v>175</v>
      </c>
    </row>
    <row r="90" ht="14.25" customHeight="1">
      <c r="A90" s="6" t="s">
        <v>176</v>
      </c>
      <c r="B90" s="8" t="s">
        <v>177</v>
      </c>
    </row>
    <row r="91" ht="14.25" customHeight="1">
      <c r="A91" s="6" t="s">
        <v>178</v>
      </c>
      <c r="B91" s="8" t="s">
        <v>179</v>
      </c>
    </row>
    <row r="92" ht="14.25" customHeight="1">
      <c r="A92" s="6" t="s">
        <v>180</v>
      </c>
      <c r="B92" s="8" t="s">
        <v>181</v>
      </c>
    </row>
    <row r="93" ht="14.25" customHeight="1">
      <c r="A93" s="6" t="s">
        <v>182</v>
      </c>
      <c r="B93" s="8" t="s">
        <v>183</v>
      </c>
    </row>
    <row r="94" ht="14.25" customHeight="1">
      <c r="A94" s="6" t="s">
        <v>184</v>
      </c>
      <c r="B94" s="8" t="s">
        <v>185</v>
      </c>
    </row>
    <row r="95" ht="14.25" customHeight="1">
      <c r="A95" s="6" t="s">
        <v>141</v>
      </c>
      <c r="B95" s="8" t="s">
        <v>186</v>
      </c>
    </row>
    <row r="96" ht="14.25" customHeight="1">
      <c r="A96" s="6" t="s">
        <v>187</v>
      </c>
      <c r="B96" s="8" t="s">
        <v>188</v>
      </c>
    </row>
    <row r="97" ht="14.25" customHeight="1">
      <c r="A97" s="6" t="s">
        <v>189</v>
      </c>
      <c r="B97" s="8" t="s">
        <v>190</v>
      </c>
    </row>
    <row r="98" ht="14.25" customHeight="1">
      <c r="A98" s="6" t="s">
        <v>191</v>
      </c>
      <c r="B98" s="8" t="s">
        <v>192</v>
      </c>
    </row>
    <row r="99" ht="14.25" customHeight="1">
      <c r="A99" s="6" t="s">
        <v>193</v>
      </c>
      <c r="B99" s="8" t="s">
        <v>194</v>
      </c>
    </row>
    <row r="100" ht="14.25" customHeight="1">
      <c r="A100" s="6" t="s">
        <v>128</v>
      </c>
      <c r="B100" s="8" t="s">
        <v>195</v>
      </c>
    </row>
    <row r="101" ht="14.25" customHeight="1"/>
    <row r="102" ht="14.25" customHeight="1">
      <c r="A102" s="3" t="s">
        <v>196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ht="14.25" customHeight="1">
      <c r="A103" s="2" t="s">
        <v>197</v>
      </c>
    </row>
    <row r="104" ht="33.75" customHeight="1">
      <c r="A104" s="5" t="s">
        <v>198</v>
      </c>
      <c r="B104" s="5" t="s">
        <v>199</v>
      </c>
      <c r="C104" s="5" t="s">
        <v>200</v>
      </c>
      <c r="D104" s="5" t="s">
        <v>104</v>
      </c>
      <c r="E104" s="5" t="s">
        <v>201</v>
      </c>
      <c r="F104" s="5" t="s">
        <v>202</v>
      </c>
      <c r="G104" s="5" t="s">
        <v>203</v>
      </c>
      <c r="H104" s="5" t="s">
        <v>204</v>
      </c>
      <c r="I104" s="5" t="s">
        <v>205</v>
      </c>
      <c r="J104" s="5" t="s">
        <v>206</v>
      </c>
      <c r="K104" s="5" t="s">
        <v>207</v>
      </c>
      <c r="L104" s="5" t="s">
        <v>208</v>
      </c>
      <c r="M104" s="5" t="s">
        <v>209</v>
      </c>
    </row>
    <row r="105" ht="14.25" customHeight="1">
      <c r="A105" s="8">
        <v>1.0</v>
      </c>
      <c r="B105" s="8">
        <v>1.0</v>
      </c>
      <c r="C105" s="8">
        <v>0.0</v>
      </c>
      <c r="D105" s="8" t="s">
        <v>113</v>
      </c>
      <c r="E105" s="8">
        <v>4.0</v>
      </c>
      <c r="F105" s="8">
        <v>0.0</v>
      </c>
      <c r="G105" s="8">
        <v>3.0</v>
      </c>
      <c r="H105" s="8">
        <v>0.0</v>
      </c>
      <c r="I105" s="16" t="str">
        <f t="shared" ref="I105:I323" si="1">A105&amp;"-"&amp;B105</f>
        <v>1-1</v>
      </c>
      <c r="J105" s="17" t="str">
        <f t="shared" ref="J105:J323" si="2">E105*INDEX($G$57:$G$63,MATCH(D105,$A$57:$A$63,0))</f>
        <v>40</v>
      </c>
      <c r="K105" s="17" t="str">
        <f t="shared" ref="K105:K323" si="3">E105*INDEX($C$57:$C$63,MATCH(D105,$A$57:$A$63,0))</f>
        <v>80</v>
      </c>
      <c r="L105" s="18" t="str">
        <f t="shared" ref="L105:L323" si="4">E105*INDEX($C$57:$C$63,MATCH(D105,$A$57:$A$63,0))/(INDEX($E$57:$E$63,MATCH(D105,$A$57:$A$63,0))/INDEX($D$57:$D$63,MATCH(D105,$A$57:$A$63,0)))</f>
        <v>147.1</v>
      </c>
      <c r="M105" s="17" t="str">
        <f t="shared" ref="M105:M323" si="5">F105+G105</f>
        <v>3</v>
      </c>
    </row>
    <row r="106" ht="14.25" customHeight="1">
      <c r="A106" s="8">
        <v>1.0</v>
      </c>
      <c r="B106" s="8">
        <v>2.0</v>
      </c>
      <c r="C106" s="8">
        <v>0.0</v>
      </c>
      <c r="D106" s="8" t="s">
        <v>113</v>
      </c>
      <c r="E106" s="8">
        <v>4.0</v>
      </c>
      <c r="F106" s="8">
        <v>0.0</v>
      </c>
      <c r="G106" s="8">
        <v>3.0</v>
      </c>
      <c r="H106" s="8">
        <v>0.0</v>
      </c>
      <c r="I106" s="16" t="str">
        <f t="shared" si="1"/>
        <v>1-2</v>
      </c>
      <c r="J106" s="17" t="str">
        <f t="shared" si="2"/>
        <v>40</v>
      </c>
      <c r="K106" s="17" t="str">
        <f t="shared" si="3"/>
        <v>80</v>
      </c>
      <c r="L106" s="18" t="str">
        <f t="shared" si="4"/>
        <v>147.1</v>
      </c>
      <c r="M106" s="17" t="str">
        <f t="shared" si="5"/>
        <v>3</v>
      </c>
    </row>
    <row r="107" ht="14.25" customHeight="1">
      <c r="A107" s="8">
        <v>1.0</v>
      </c>
      <c r="B107" s="8">
        <v>2.0</v>
      </c>
      <c r="C107" s="8">
        <v>0.0</v>
      </c>
      <c r="D107" s="8" t="s">
        <v>115</v>
      </c>
      <c r="E107" s="8">
        <v>1.0</v>
      </c>
      <c r="F107" s="8">
        <v>3.0</v>
      </c>
      <c r="G107" s="8">
        <v>2.0</v>
      </c>
      <c r="H107" s="8">
        <v>0.0</v>
      </c>
      <c r="I107" s="16" t="str">
        <f t="shared" si="1"/>
        <v>1-2</v>
      </c>
      <c r="J107" s="17" t="str">
        <f t="shared" si="2"/>
        <v>18</v>
      </c>
      <c r="K107" s="17" t="str">
        <f t="shared" si="3"/>
        <v>30</v>
      </c>
      <c r="L107" s="18" t="str">
        <f t="shared" si="4"/>
        <v>64.1</v>
      </c>
      <c r="M107" s="17" t="str">
        <f t="shared" si="5"/>
        <v>5</v>
      </c>
    </row>
    <row r="108" ht="14.25" customHeight="1">
      <c r="A108" s="8">
        <v>1.0</v>
      </c>
      <c r="B108" s="8">
        <v>3.0</v>
      </c>
      <c r="C108" s="8">
        <v>100.0</v>
      </c>
      <c r="D108" s="8" t="s">
        <v>115</v>
      </c>
      <c r="E108" s="8">
        <v>2.0</v>
      </c>
      <c r="F108" s="8">
        <v>3.0</v>
      </c>
      <c r="G108" s="8">
        <v>2.0</v>
      </c>
      <c r="H108" s="8">
        <v>0.0</v>
      </c>
      <c r="I108" s="16" t="str">
        <f t="shared" si="1"/>
        <v>1-3</v>
      </c>
      <c r="J108" s="17" t="str">
        <f t="shared" si="2"/>
        <v>36</v>
      </c>
      <c r="K108" s="17" t="str">
        <f t="shared" si="3"/>
        <v>60</v>
      </c>
      <c r="L108" s="18" t="str">
        <f t="shared" si="4"/>
        <v>128.2</v>
      </c>
      <c r="M108" s="17" t="str">
        <f t="shared" si="5"/>
        <v>5</v>
      </c>
    </row>
    <row r="109" ht="14.25" customHeight="1">
      <c r="A109" s="8">
        <v>1.0</v>
      </c>
      <c r="B109" s="8">
        <v>3.0</v>
      </c>
      <c r="C109" s="8">
        <v>100.0</v>
      </c>
      <c r="D109" s="8" t="s">
        <v>113</v>
      </c>
      <c r="E109" s="8">
        <v>3.0</v>
      </c>
      <c r="F109" s="8">
        <v>0.0</v>
      </c>
      <c r="G109" s="8">
        <v>2.0</v>
      </c>
      <c r="H109" s="8">
        <v>0.0</v>
      </c>
      <c r="I109" s="16" t="str">
        <f t="shared" si="1"/>
        <v>1-3</v>
      </c>
      <c r="J109" s="17" t="str">
        <f t="shared" si="2"/>
        <v>30</v>
      </c>
      <c r="K109" s="17" t="str">
        <f t="shared" si="3"/>
        <v>60</v>
      </c>
      <c r="L109" s="18" t="str">
        <f t="shared" si="4"/>
        <v>110.3</v>
      </c>
      <c r="M109" s="17" t="str">
        <f t="shared" si="5"/>
        <v>2</v>
      </c>
    </row>
    <row r="110" ht="14.25" customHeight="1">
      <c r="A110" s="8">
        <v>1.0</v>
      </c>
      <c r="B110" s="8">
        <v>4.0</v>
      </c>
      <c r="C110" s="8">
        <v>100.0</v>
      </c>
      <c r="D110" s="8" t="s">
        <v>113</v>
      </c>
      <c r="E110" s="8">
        <v>4.0</v>
      </c>
      <c r="F110" s="8">
        <v>0.0</v>
      </c>
      <c r="G110" s="8">
        <v>3.0</v>
      </c>
      <c r="H110" s="8">
        <v>0.0</v>
      </c>
      <c r="I110" s="16" t="str">
        <f t="shared" si="1"/>
        <v>1-4</v>
      </c>
      <c r="J110" s="17" t="str">
        <f t="shared" si="2"/>
        <v>40</v>
      </c>
      <c r="K110" s="17" t="str">
        <f t="shared" si="3"/>
        <v>80</v>
      </c>
      <c r="L110" s="18" t="str">
        <f t="shared" si="4"/>
        <v>147.1</v>
      </c>
      <c r="M110" s="17" t="str">
        <f t="shared" si="5"/>
        <v>3</v>
      </c>
    </row>
    <row r="111" ht="14.25" customHeight="1">
      <c r="A111" s="8">
        <v>1.0</v>
      </c>
      <c r="B111" s="8">
        <v>4.0</v>
      </c>
      <c r="C111" s="8">
        <v>100.0</v>
      </c>
      <c r="D111" s="8" t="s">
        <v>120</v>
      </c>
      <c r="E111" s="8">
        <v>2.0</v>
      </c>
      <c r="F111" s="8">
        <v>3.0</v>
      </c>
      <c r="G111" s="8">
        <v>2.0</v>
      </c>
      <c r="H111" s="8">
        <v>0.0</v>
      </c>
      <c r="I111" s="16" t="str">
        <f t="shared" si="1"/>
        <v>1-4</v>
      </c>
      <c r="J111" s="17" t="str">
        <f t="shared" si="2"/>
        <v>30</v>
      </c>
      <c r="K111" s="17" t="str">
        <f t="shared" si="3"/>
        <v>40</v>
      </c>
      <c r="L111" s="18" t="str">
        <f t="shared" si="4"/>
        <v>120.3</v>
      </c>
      <c r="M111" s="17" t="str">
        <f t="shared" si="5"/>
        <v>5</v>
      </c>
    </row>
    <row r="112" ht="14.25" customHeight="1">
      <c r="A112" s="8">
        <v>1.0</v>
      </c>
      <c r="B112" s="8">
        <v>5.0</v>
      </c>
      <c r="C112" s="8">
        <v>0.0</v>
      </c>
      <c r="D112" s="8" t="s">
        <v>120</v>
      </c>
      <c r="E112" s="8">
        <v>2.0</v>
      </c>
      <c r="F112" s="8">
        <v>3.0</v>
      </c>
      <c r="G112" s="8">
        <v>2.0</v>
      </c>
      <c r="H112" s="8">
        <v>0.0</v>
      </c>
      <c r="I112" s="16" t="str">
        <f t="shared" si="1"/>
        <v>1-5</v>
      </c>
      <c r="J112" s="17" t="str">
        <f t="shared" si="2"/>
        <v>30</v>
      </c>
      <c r="K112" s="17" t="str">
        <f t="shared" si="3"/>
        <v>40</v>
      </c>
      <c r="L112" s="18" t="str">
        <f t="shared" si="4"/>
        <v>120.3</v>
      </c>
      <c r="M112" s="17" t="str">
        <f t="shared" si="5"/>
        <v>5</v>
      </c>
    </row>
    <row r="113" ht="14.25" customHeight="1">
      <c r="A113" s="8">
        <v>1.0</v>
      </c>
      <c r="B113" s="8">
        <v>5.0</v>
      </c>
      <c r="C113" s="8">
        <v>0.0</v>
      </c>
      <c r="D113" s="8" t="s">
        <v>113</v>
      </c>
      <c r="E113" s="8">
        <v>5.0</v>
      </c>
      <c r="F113" s="8">
        <v>0.0</v>
      </c>
      <c r="G113" s="8">
        <v>4.0</v>
      </c>
      <c r="H113" s="8">
        <v>0.0</v>
      </c>
      <c r="I113" s="16" t="str">
        <f t="shared" si="1"/>
        <v>1-5</v>
      </c>
      <c r="J113" s="17" t="str">
        <f t="shared" si="2"/>
        <v>50</v>
      </c>
      <c r="K113" s="17" t="str">
        <f t="shared" si="3"/>
        <v>100</v>
      </c>
      <c r="L113" s="18" t="str">
        <f t="shared" si="4"/>
        <v>183.9</v>
      </c>
      <c r="M113" s="17" t="str">
        <f t="shared" si="5"/>
        <v>4</v>
      </c>
    </row>
    <row r="114" ht="14.25" customHeight="1">
      <c r="A114" s="8">
        <v>1.0</v>
      </c>
      <c r="B114" s="8">
        <v>6.0</v>
      </c>
      <c r="C114" s="8">
        <v>100.0</v>
      </c>
      <c r="D114" s="8" t="s">
        <v>113</v>
      </c>
      <c r="E114" s="8">
        <v>4.0</v>
      </c>
      <c r="F114" s="8">
        <v>0.0</v>
      </c>
      <c r="G114" s="8">
        <v>3.0</v>
      </c>
      <c r="H114" s="8">
        <v>0.0</v>
      </c>
      <c r="I114" s="16" t="str">
        <f t="shared" si="1"/>
        <v>1-6</v>
      </c>
      <c r="J114" s="17" t="str">
        <f t="shared" si="2"/>
        <v>40</v>
      </c>
      <c r="K114" s="17" t="str">
        <f t="shared" si="3"/>
        <v>80</v>
      </c>
      <c r="L114" s="18" t="str">
        <f t="shared" si="4"/>
        <v>147.1</v>
      </c>
      <c r="M114" s="17" t="str">
        <f t="shared" si="5"/>
        <v>3</v>
      </c>
    </row>
    <row r="115" ht="14.25" customHeight="1">
      <c r="A115" s="8">
        <v>1.0</v>
      </c>
      <c r="B115" s="8">
        <v>6.0</v>
      </c>
      <c r="C115" s="8">
        <v>100.0</v>
      </c>
      <c r="D115" s="8" t="s">
        <v>115</v>
      </c>
      <c r="E115" s="8">
        <v>2.0</v>
      </c>
      <c r="F115" s="8">
        <v>3.0</v>
      </c>
      <c r="G115" s="8">
        <v>2.0</v>
      </c>
      <c r="H115" s="8">
        <v>0.0</v>
      </c>
      <c r="I115" s="16" t="str">
        <f t="shared" si="1"/>
        <v>1-6</v>
      </c>
      <c r="J115" s="17" t="str">
        <f t="shared" si="2"/>
        <v>36</v>
      </c>
      <c r="K115" s="17" t="str">
        <f t="shared" si="3"/>
        <v>60</v>
      </c>
      <c r="L115" s="18" t="str">
        <f t="shared" si="4"/>
        <v>128.2</v>
      </c>
      <c r="M115" s="17" t="str">
        <f t="shared" si="5"/>
        <v>5</v>
      </c>
    </row>
    <row r="116" ht="14.25" customHeight="1">
      <c r="A116" s="8">
        <v>1.0</v>
      </c>
      <c r="B116" s="8">
        <v>6.0</v>
      </c>
      <c r="C116" s="8">
        <v>100.0</v>
      </c>
      <c r="D116" s="8" t="s">
        <v>120</v>
      </c>
      <c r="E116" s="8">
        <v>2.0</v>
      </c>
      <c r="F116" s="8">
        <v>6.0</v>
      </c>
      <c r="G116" s="8">
        <v>2.0</v>
      </c>
      <c r="H116" s="8">
        <v>0.0</v>
      </c>
      <c r="I116" s="16" t="str">
        <f t="shared" si="1"/>
        <v>1-6</v>
      </c>
      <c r="J116" s="17" t="str">
        <f t="shared" si="2"/>
        <v>30</v>
      </c>
      <c r="K116" s="17" t="str">
        <f t="shared" si="3"/>
        <v>40</v>
      </c>
      <c r="L116" s="18" t="str">
        <f t="shared" si="4"/>
        <v>120.3</v>
      </c>
      <c r="M116" s="17" t="str">
        <f t="shared" si="5"/>
        <v>8</v>
      </c>
    </row>
    <row r="117" ht="14.25" customHeight="1">
      <c r="A117" s="8">
        <v>1.0</v>
      </c>
      <c r="B117" s="8">
        <v>7.0</v>
      </c>
      <c r="C117" s="8">
        <v>200.0</v>
      </c>
      <c r="D117" s="8" t="s">
        <v>113</v>
      </c>
      <c r="E117" s="8">
        <v>2.0</v>
      </c>
      <c r="F117" s="8">
        <v>0.0</v>
      </c>
      <c r="G117" s="8">
        <v>2.0</v>
      </c>
      <c r="H117" s="8">
        <v>0.0</v>
      </c>
      <c r="I117" s="16" t="str">
        <f t="shared" si="1"/>
        <v>1-7</v>
      </c>
      <c r="J117" s="17" t="str">
        <f t="shared" si="2"/>
        <v>20</v>
      </c>
      <c r="K117" s="17" t="str">
        <f t="shared" si="3"/>
        <v>40</v>
      </c>
      <c r="L117" s="18" t="str">
        <f t="shared" si="4"/>
        <v>73.5</v>
      </c>
      <c r="M117" s="17" t="str">
        <f t="shared" si="5"/>
        <v>2</v>
      </c>
    </row>
    <row r="118" ht="14.25" customHeight="1">
      <c r="A118" s="8">
        <v>1.0</v>
      </c>
      <c r="B118" s="8">
        <v>7.0</v>
      </c>
      <c r="C118" s="8">
        <v>200.0</v>
      </c>
      <c r="D118" s="8" t="s">
        <v>115</v>
      </c>
      <c r="E118" s="8">
        <v>4.0</v>
      </c>
      <c r="F118" s="8">
        <v>3.0</v>
      </c>
      <c r="G118" s="8">
        <v>3.0</v>
      </c>
      <c r="H118" s="8">
        <v>0.0</v>
      </c>
      <c r="I118" s="16" t="str">
        <f t="shared" si="1"/>
        <v>1-7</v>
      </c>
      <c r="J118" s="17" t="str">
        <f t="shared" si="2"/>
        <v>72</v>
      </c>
      <c r="K118" s="17" t="str">
        <f t="shared" si="3"/>
        <v>120</v>
      </c>
      <c r="L118" s="18" t="str">
        <f t="shared" si="4"/>
        <v>256.5</v>
      </c>
      <c r="M118" s="17" t="str">
        <f t="shared" si="5"/>
        <v>6</v>
      </c>
    </row>
    <row r="119" ht="14.25" customHeight="1">
      <c r="A119" s="8">
        <v>1.0</v>
      </c>
      <c r="B119" s="8">
        <v>7.0</v>
      </c>
      <c r="C119" s="8">
        <v>200.0</v>
      </c>
      <c r="D119" s="8" t="s">
        <v>120</v>
      </c>
      <c r="E119" s="8">
        <v>3.0</v>
      </c>
      <c r="F119" s="8">
        <v>6.0</v>
      </c>
      <c r="G119" s="8">
        <v>2.0</v>
      </c>
      <c r="H119" s="8">
        <v>0.0</v>
      </c>
      <c r="I119" s="16" t="str">
        <f t="shared" si="1"/>
        <v>1-7</v>
      </c>
      <c r="J119" s="17" t="str">
        <f t="shared" si="2"/>
        <v>45</v>
      </c>
      <c r="K119" s="17" t="str">
        <f t="shared" si="3"/>
        <v>60</v>
      </c>
      <c r="L119" s="18" t="str">
        <f t="shared" si="4"/>
        <v>180.4</v>
      </c>
      <c r="M119" s="17" t="str">
        <f t="shared" si="5"/>
        <v>8</v>
      </c>
    </row>
    <row r="120" ht="14.25" customHeight="1">
      <c r="A120" s="8">
        <v>1.0</v>
      </c>
      <c r="B120" s="8">
        <v>8.0</v>
      </c>
      <c r="C120" s="8">
        <v>0.0</v>
      </c>
      <c r="D120" s="8" t="s">
        <v>113</v>
      </c>
      <c r="E120" s="8">
        <v>3.0</v>
      </c>
      <c r="F120" s="8">
        <v>0.0</v>
      </c>
      <c r="G120" s="8">
        <v>2.0</v>
      </c>
      <c r="H120" s="8">
        <v>0.0</v>
      </c>
      <c r="I120" s="16" t="str">
        <f t="shared" si="1"/>
        <v>1-8</v>
      </c>
      <c r="J120" s="17" t="str">
        <f t="shared" si="2"/>
        <v>30</v>
      </c>
      <c r="K120" s="17" t="str">
        <f t="shared" si="3"/>
        <v>60</v>
      </c>
      <c r="L120" s="18" t="str">
        <f t="shared" si="4"/>
        <v>110.3</v>
      </c>
      <c r="M120" s="17" t="str">
        <f t="shared" si="5"/>
        <v>2</v>
      </c>
    </row>
    <row r="121" ht="14.25" customHeight="1">
      <c r="A121" s="8">
        <v>1.0</v>
      </c>
      <c r="B121" s="8">
        <v>8.0</v>
      </c>
      <c r="C121" s="8">
        <v>0.0</v>
      </c>
      <c r="D121" s="8" t="s">
        <v>115</v>
      </c>
      <c r="E121" s="8">
        <v>3.0</v>
      </c>
      <c r="F121" s="8">
        <v>3.0</v>
      </c>
      <c r="G121" s="8">
        <v>2.0</v>
      </c>
      <c r="H121" s="8">
        <v>0.0</v>
      </c>
      <c r="I121" s="16" t="str">
        <f t="shared" si="1"/>
        <v>1-8</v>
      </c>
      <c r="J121" s="17" t="str">
        <f t="shared" si="2"/>
        <v>54</v>
      </c>
      <c r="K121" s="17" t="str">
        <f t="shared" si="3"/>
        <v>90</v>
      </c>
      <c r="L121" s="18" t="str">
        <f t="shared" si="4"/>
        <v>192.4</v>
      </c>
      <c r="M121" s="17" t="str">
        <f t="shared" si="5"/>
        <v>5</v>
      </c>
    </row>
    <row r="122" ht="14.25" customHeight="1">
      <c r="A122" s="8">
        <v>1.0</v>
      </c>
      <c r="B122" s="8">
        <v>8.0</v>
      </c>
      <c r="C122" s="8">
        <v>0.0</v>
      </c>
      <c r="D122" s="8" t="s">
        <v>120</v>
      </c>
      <c r="E122" s="8">
        <v>4.0</v>
      </c>
      <c r="F122" s="8">
        <v>6.0</v>
      </c>
      <c r="G122" s="8">
        <v>3.0</v>
      </c>
      <c r="H122" s="8">
        <v>0.0</v>
      </c>
      <c r="I122" s="16" t="str">
        <f t="shared" si="1"/>
        <v>1-8</v>
      </c>
      <c r="J122" s="17" t="str">
        <f t="shared" si="2"/>
        <v>60</v>
      </c>
      <c r="K122" s="17" t="str">
        <f t="shared" si="3"/>
        <v>80</v>
      </c>
      <c r="L122" s="18" t="str">
        <f t="shared" si="4"/>
        <v>240.6</v>
      </c>
      <c r="M122" s="17" t="str">
        <f t="shared" si="5"/>
        <v>9</v>
      </c>
    </row>
    <row r="123" ht="14.25" customHeight="1">
      <c r="A123" s="8">
        <v>2.0</v>
      </c>
      <c r="B123" s="8">
        <v>1.0</v>
      </c>
      <c r="C123" s="8">
        <v>0.0</v>
      </c>
      <c r="D123" s="8" t="s">
        <v>113</v>
      </c>
      <c r="E123" s="8">
        <v>5.0</v>
      </c>
      <c r="F123" s="8">
        <v>0.0</v>
      </c>
      <c r="G123" s="8">
        <v>4.0</v>
      </c>
      <c r="H123" s="8">
        <v>-1.0</v>
      </c>
      <c r="I123" s="16" t="str">
        <f t="shared" si="1"/>
        <v>2-1</v>
      </c>
      <c r="J123" s="17" t="str">
        <f t="shared" si="2"/>
        <v>50</v>
      </c>
      <c r="K123" s="17" t="str">
        <f t="shared" si="3"/>
        <v>100</v>
      </c>
      <c r="L123" s="18" t="str">
        <f t="shared" si="4"/>
        <v>183.9</v>
      </c>
      <c r="M123" s="17" t="str">
        <f t="shared" si="5"/>
        <v>4</v>
      </c>
    </row>
    <row r="124" ht="14.25" customHeight="1">
      <c r="A124" s="8">
        <v>2.0</v>
      </c>
      <c r="B124" s="8">
        <v>2.0</v>
      </c>
      <c r="C124" s="8">
        <v>0.0</v>
      </c>
      <c r="D124" s="8" t="s">
        <v>113</v>
      </c>
      <c r="E124" s="8">
        <v>6.0</v>
      </c>
      <c r="F124" s="8">
        <v>0.0</v>
      </c>
      <c r="G124" s="8">
        <v>4.0</v>
      </c>
      <c r="H124" s="8">
        <v>-1.0</v>
      </c>
      <c r="I124" s="16" t="str">
        <f t="shared" si="1"/>
        <v>2-2</v>
      </c>
      <c r="J124" s="17" t="str">
        <f t="shared" si="2"/>
        <v>60</v>
      </c>
      <c r="K124" s="17" t="str">
        <f t="shared" si="3"/>
        <v>120</v>
      </c>
      <c r="L124" s="18" t="str">
        <f t="shared" si="4"/>
        <v>220.6</v>
      </c>
      <c r="M124" s="17" t="str">
        <f t="shared" si="5"/>
        <v>4</v>
      </c>
    </row>
    <row r="125" ht="14.25" customHeight="1">
      <c r="A125" s="8">
        <v>2.0</v>
      </c>
      <c r="B125" s="8">
        <v>3.0</v>
      </c>
      <c r="C125" s="8">
        <v>100.0</v>
      </c>
      <c r="D125" s="8" t="s">
        <v>115</v>
      </c>
      <c r="E125" s="8">
        <v>3.0</v>
      </c>
      <c r="F125" s="8">
        <v>3.0</v>
      </c>
      <c r="G125" s="8">
        <v>2.0</v>
      </c>
      <c r="H125" s="8">
        <v>-1.0</v>
      </c>
      <c r="I125" s="16" t="str">
        <f t="shared" si="1"/>
        <v>2-3</v>
      </c>
      <c r="J125" s="17" t="str">
        <f t="shared" si="2"/>
        <v>54</v>
      </c>
      <c r="K125" s="17" t="str">
        <f t="shared" si="3"/>
        <v>90</v>
      </c>
      <c r="L125" s="18" t="str">
        <f t="shared" si="4"/>
        <v>192.4</v>
      </c>
      <c r="M125" s="17" t="str">
        <f t="shared" si="5"/>
        <v>5</v>
      </c>
    </row>
    <row r="126" ht="14.25" customHeight="1">
      <c r="A126" s="8">
        <v>2.0</v>
      </c>
      <c r="B126" s="8">
        <v>3.0</v>
      </c>
      <c r="C126" s="8">
        <v>100.0</v>
      </c>
      <c r="D126" s="8" t="s">
        <v>113</v>
      </c>
      <c r="E126" s="8">
        <v>4.0</v>
      </c>
      <c r="F126" s="8">
        <v>0.0</v>
      </c>
      <c r="G126" s="8">
        <v>3.0</v>
      </c>
      <c r="H126" s="8">
        <v>-1.0</v>
      </c>
      <c r="I126" s="16" t="str">
        <f t="shared" si="1"/>
        <v>2-3</v>
      </c>
      <c r="J126" s="17" t="str">
        <f t="shared" si="2"/>
        <v>40</v>
      </c>
      <c r="K126" s="17" t="str">
        <f t="shared" si="3"/>
        <v>80</v>
      </c>
      <c r="L126" s="18" t="str">
        <f t="shared" si="4"/>
        <v>147.1</v>
      </c>
      <c r="M126" s="17" t="str">
        <f t="shared" si="5"/>
        <v>3</v>
      </c>
    </row>
    <row r="127" ht="14.25" customHeight="1">
      <c r="A127" s="8">
        <v>2.0</v>
      </c>
      <c r="B127" s="8">
        <v>4.0</v>
      </c>
      <c r="C127" s="8">
        <v>0.0</v>
      </c>
      <c r="D127" s="8" t="s">
        <v>117</v>
      </c>
      <c r="E127" s="8">
        <v>2.0</v>
      </c>
      <c r="F127" s="8">
        <v>3.0</v>
      </c>
      <c r="G127" s="8">
        <v>2.0</v>
      </c>
      <c r="H127" s="8">
        <v>-1.0</v>
      </c>
      <c r="I127" s="16" t="str">
        <f t="shared" si="1"/>
        <v>2-4</v>
      </c>
      <c r="J127" s="17" t="str">
        <f t="shared" si="2"/>
        <v>60</v>
      </c>
      <c r="K127" s="17" t="str">
        <f t="shared" si="3"/>
        <v>60</v>
      </c>
      <c r="L127" s="18" t="str">
        <f t="shared" si="4"/>
        <v>291.1</v>
      </c>
      <c r="M127" s="17" t="str">
        <f t="shared" si="5"/>
        <v>5</v>
      </c>
    </row>
    <row r="128" ht="14.25" customHeight="1">
      <c r="A128" s="8">
        <v>2.0</v>
      </c>
      <c r="B128" s="8">
        <v>4.0</v>
      </c>
      <c r="C128" s="8">
        <v>0.0</v>
      </c>
      <c r="D128" s="8" t="s">
        <v>113</v>
      </c>
      <c r="E128" s="8">
        <v>5.0</v>
      </c>
      <c r="F128" s="8">
        <v>0.0</v>
      </c>
      <c r="G128" s="8">
        <v>4.0</v>
      </c>
      <c r="H128" s="8">
        <v>-1.0</v>
      </c>
      <c r="I128" s="16" t="str">
        <f t="shared" si="1"/>
        <v>2-4</v>
      </c>
      <c r="J128" s="17" t="str">
        <f t="shared" si="2"/>
        <v>50</v>
      </c>
      <c r="K128" s="17" t="str">
        <f t="shared" si="3"/>
        <v>100</v>
      </c>
      <c r="L128" s="18" t="str">
        <f t="shared" si="4"/>
        <v>183.9</v>
      </c>
      <c r="M128" s="17" t="str">
        <f t="shared" si="5"/>
        <v>4</v>
      </c>
    </row>
    <row r="129" ht="14.25" customHeight="1">
      <c r="A129" s="8">
        <v>2.0</v>
      </c>
      <c r="B129" s="8">
        <v>5.0</v>
      </c>
      <c r="C129" s="8">
        <v>100.0</v>
      </c>
      <c r="D129" s="8" t="s">
        <v>117</v>
      </c>
      <c r="E129" s="8">
        <v>2.0</v>
      </c>
      <c r="F129" s="8">
        <v>3.0</v>
      </c>
      <c r="G129" s="8">
        <v>2.0</v>
      </c>
      <c r="H129" s="8">
        <v>-1.0</v>
      </c>
      <c r="I129" s="16" t="str">
        <f t="shared" si="1"/>
        <v>2-5</v>
      </c>
      <c r="J129" s="17" t="str">
        <f t="shared" si="2"/>
        <v>60</v>
      </c>
      <c r="K129" s="17" t="str">
        <f t="shared" si="3"/>
        <v>60</v>
      </c>
      <c r="L129" s="18" t="str">
        <f t="shared" si="4"/>
        <v>291.1</v>
      </c>
      <c r="M129" s="17" t="str">
        <f t="shared" si="5"/>
        <v>5</v>
      </c>
    </row>
    <row r="130" ht="14.25" customHeight="1">
      <c r="A130" s="8">
        <v>2.0</v>
      </c>
      <c r="B130" s="8">
        <v>5.0</v>
      </c>
      <c r="C130" s="8">
        <v>100.0</v>
      </c>
      <c r="D130" s="8" t="s">
        <v>113</v>
      </c>
      <c r="E130" s="8">
        <v>6.0</v>
      </c>
      <c r="F130" s="8">
        <v>0.0</v>
      </c>
      <c r="G130" s="8">
        <v>4.0</v>
      </c>
      <c r="H130" s="8">
        <v>-1.0</v>
      </c>
      <c r="I130" s="16" t="str">
        <f t="shared" si="1"/>
        <v>2-5</v>
      </c>
      <c r="J130" s="17" t="str">
        <f t="shared" si="2"/>
        <v>60</v>
      </c>
      <c r="K130" s="17" t="str">
        <f t="shared" si="3"/>
        <v>120</v>
      </c>
      <c r="L130" s="18" t="str">
        <f t="shared" si="4"/>
        <v>220.6</v>
      </c>
      <c r="M130" s="17" t="str">
        <f t="shared" si="5"/>
        <v>4</v>
      </c>
    </row>
    <row r="131" ht="14.25" customHeight="1">
      <c r="A131" s="8">
        <v>2.0</v>
      </c>
      <c r="B131" s="8">
        <v>6.0</v>
      </c>
      <c r="C131" s="8">
        <v>0.0</v>
      </c>
      <c r="D131" s="8" t="s">
        <v>115</v>
      </c>
      <c r="E131" s="8">
        <v>3.0</v>
      </c>
      <c r="F131" s="8">
        <v>3.0</v>
      </c>
      <c r="G131" s="8">
        <v>2.0</v>
      </c>
      <c r="H131" s="8">
        <v>-1.0</v>
      </c>
      <c r="I131" s="16" t="str">
        <f t="shared" si="1"/>
        <v>2-6</v>
      </c>
      <c r="J131" s="17" t="str">
        <f t="shared" si="2"/>
        <v>54</v>
      </c>
      <c r="K131" s="17" t="str">
        <f t="shared" si="3"/>
        <v>90</v>
      </c>
      <c r="L131" s="18" t="str">
        <f t="shared" si="4"/>
        <v>192.4</v>
      </c>
      <c r="M131" s="17" t="str">
        <f t="shared" si="5"/>
        <v>5</v>
      </c>
    </row>
    <row r="132" ht="14.25" customHeight="1">
      <c r="A132" s="8">
        <v>2.0</v>
      </c>
      <c r="B132" s="8">
        <v>6.0</v>
      </c>
      <c r="C132" s="8">
        <v>0.0</v>
      </c>
      <c r="D132" s="8" t="s">
        <v>113</v>
      </c>
      <c r="E132" s="8">
        <v>5.0</v>
      </c>
      <c r="F132" s="8">
        <v>0.0</v>
      </c>
      <c r="G132" s="8">
        <v>4.0</v>
      </c>
      <c r="H132" s="8">
        <v>-1.0</v>
      </c>
      <c r="I132" s="16" t="str">
        <f t="shared" si="1"/>
        <v>2-6</v>
      </c>
      <c r="J132" s="17" t="str">
        <f t="shared" si="2"/>
        <v>50</v>
      </c>
      <c r="K132" s="17" t="str">
        <f t="shared" si="3"/>
        <v>100</v>
      </c>
      <c r="L132" s="18" t="str">
        <f t="shared" si="4"/>
        <v>183.9</v>
      </c>
      <c r="M132" s="17" t="str">
        <f t="shared" si="5"/>
        <v>4</v>
      </c>
    </row>
    <row r="133" ht="14.25" customHeight="1">
      <c r="A133" s="8">
        <v>2.0</v>
      </c>
      <c r="B133" s="8">
        <v>6.0</v>
      </c>
      <c r="C133" s="8">
        <v>0.0</v>
      </c>
      <c r="D133" s="8" t="s">
        <v>117</v>
      </c>
      <c r="E133" s="8">
        <v>1.0</v>
      </c>
      <c r="F133" s="8">
        <v>6.0</v>
      </c>
      <c r="G133" s="8">
        <v>2.0</v>
      </c>
      <c r="H133" s="8">
        <v>-1.0</v>
      </c>
      <c r="I133" s="16" t="str">
        <f t="shared" si="1"/>
        <v>2-6</v>
      </c>
      <c r="J133" s="17" t="str">
        <f t="shared" si="2"/>
        <v>30</v>
      </c>
      <c r="K133" s="17" t="str">
        <f t="shared" si="3"/>
        <v>30</v>
      </c>
      <c r="L133" s="18" t="str">
        <f t="shared" si="4"/>
        <v>145.6</v>
      </c>
      <c r="M133" s="17" t="str">
        <f t="shared" si="5"/>
        <v>8</v>
      </c>
    </row>
    <row r="134" ht="14.25" customHeight="1">
      <c r="A134" s="8">
        <v>2.0</v>
      </c>
      <c r="B134" s="8">
        <v>7.0</v>
      </c>
      <c r="C134" s="8">
        <v>200.0</v>
      </c>
      <c r="D134" s="8" t="s">
        <v>115</v>
      </c>
      <c r="E134" s="8">
        <v>3.0</v>
      </c>
      <c r="F134" s="8">
        <v>3.0</v>
      </c>
      <c r="G134" s="8">
        <v>2.0</v>
      </c>
      <c r="H134" s="8">
        <v>-1.0</v>
      </c>
      <c r="I134" s="16" t="str">
        <f t="shared" si="1"/>
        <v>2-7</v>
      </c>
      <c r="J134" s="17" t="str">
        <f t="shared" si="2"/>
        <v>54</v>
      </c>
      <c r="K134" s="17" t="str">
        <f t="shared" si="3"/>
        <v>90</v>
      </c>
      <c r="L134" s="18" t="str">
        <f t="shared" si="4"/>
        <v>192.4</v>
      </c>
      <c r="M134" s="17" t="str">
        <f t="shared" si="5"/>
        <v>5</v>
      </c>
    </row>
    <row r="135" ht="14.25" customHeight="1">
      <c r="A135" s="8">
        <v>2.0</v>
      </c>
      <c r="B135" s="8">
        <v>7.0</v>
      </c>
      <c r="C135" s="8">
        <v>200.0</v>
      </c>
      <c r="D135" s="8" t="s">
        <v>113</v>
      </c>
      <c r="E135" s="8">
        <v>2.0</v>
      </c>
      <c r="F135" s="8">
        <v>0.0</v>
      </c>
      <c r="G135" s="8">
        <v>2.0</v>
      </c>
      <c r="H135" s="8">
        <v>-1.0</v>
      </c>
      <c r="I135" s="16" t="str">
        <f t="shared" si="1"/>
        <v>2-7</v>
      </c>
      <c r="J135" s="17" t="str">
        <f t="shared" si="2"/>
        <v>20</v>
      </c>
      <c r="K135" s="17" t="str">
        <f t="shared" si="3"/>
        <v>40</v>
      </c>
      <c r="L135" s="18" t="str">
        <f t="shared" si="4"/>
        <v>73.5</v>
      </c>
      <c r="M135" s="17" t="str">
        <f t="shared" si="5"/>
        <v>2</v>
      </c>
    </row>
    <row r="136" ht="14.25" customHeight="1">
      <c r="A136" s="8">
        <v>2.0</v>
      </c>
      <c r="B136" s="8">
        <v>7.0</v>
      </c>
      <c r="C136" s="8">
        <v>200.0</v>
      </c>
      <c r="D136" s="8" t="s">
        <v>117</v>
      </c>
      <c r="E136" s="8">
        <v>2.0</v>
      </c>
      <c r="F136" s="8">
        <v>9.0</v>
      </c>
      <c r="G136" s="8">
        <v>2.0</v>
      </c>
      <c r="H136" s="8">
        <v>-1.0</v>
      </c>
      <c r="I136" s="16" t="str">
        <f t="shared" si="1"/>
        <v>2-7</v>
      </c>
      <c r="J136" s="17" t="str">
        <f t="shared" si="2"/>
        <v>60</v>
      </c>
      <c r="K136" s="17" t="str">
        <f t="shared" si="3"/>
        <v>60</v>
      </c>
      <c r="L136" s="18" t="str">
        <f t="shared" si="4"/>
        <v>291.1</v>
      </c>
      <c r="M136" s="17" t="str">
        <f t="shared" si="5"/>
        <v>11</v>
      </c>
    </row>
    <row r="137" ht="14.25" customHeight="1">
      <c r="A137" s="8">
        <v>2.0</v>
      </c>
      <c r="B137" s="8">
        <v>8.0</v>
      </c>
      <c r="C137" s="8">
        <v>0.0</v>
      </c>
      <c r="D137" s="8" t="s">
        <v>113</v>
      </c>
      <c r="E137" s="8">
        <v>3.0</v>
      </c>
      <c r="F137" s="8">
        <v>0.0</v>
      </c>
      <c r="G137" s="8">
        <v>2.0</v>
      </c>
      <c r="H137" s="8">
        <v>-1.0</v>
      </c>
      <c r="I137" s="16" t="str">
        <f t="shared" si="1"/>
        <v>2-8</v>
      </c>
      <c r="J137" s="17" t="str">
        <f t="shared" si="2"/>
        <v>30</v>
      </c>
      <c r="K137" s="17" t="str">
        <f t="shared" si="3"/>
        <v>60</v>
      </c>
      <c r="L137" s="18" t="str">
        <f t="shared" si="4"/>
        <v>110.3</v>
      </c>
      <c r="M137" s="17" t="str">
        <f t="shared" si="5"/>
        <v>2</v>
      </c>
    </row>
    <row r="138" ht="14.25" customHeight="1">
      <c r="A138" s="8">
        <v>2.0</v>
      </c>
      <c r="B138" s="8">
        <v>8.0</v>
      </c>
      <c r="C138" s="8">
        <v>0.0</v>
      </c>
      <c r="D138" s="8" t="s">
        <v>115</v>
      </c>
      <c r="E138" s="8">
        <v>3.0</v>
      </c>
      <c r="F138" s="8">
        <v>3.0</v>
      </c>
      <c r="G138" s="8">
        <v>2.0</v>
      </c>
      <c r="H138" s="8">
        <v>-1.0</v>
      </c>
      <c r="I138" s="16" t="str">
        <f t="shared" si="1"/>
        <v>2-8</v>
      </c>
      <c r="J138" s="17" t="str">
        <f t="shared" si="2"/>
        <v>54</v>
      </c>
      <c r="K138" s="17" t="str">
        <f t="shared" si="3"/>
        <v>90</v>
      </c>
      <c r="L138" s="18" t="str">
        <f t="shared" si="4"/>
        <v>192.4</v>
      </c>
      <c r="M138" s="17" t="str">
        <f t="shared" si="5"/>
        <v>5</v>
      </c>
    </row>
    <row r="139" ht="14.25" customHeight="1">
      <c r="A139" s="8">
        <v>2.0</v>
      </c>
      <c r="B139" s="8">
        <v>8.0</v>
      </c>
      <c r="C139" s="8">
        <v>0.0</v>
      </c>
      <c r="D139" s="8" t="s">
        <v>117</v>
      </c>
      <c r="E139" s="8">
        <v>2.0</v>
      </c>
      <c r="F139" s="8">
        <v>9.0</v>
      </c>
      <c r="G139" s="8">
        <v>2.0</v>
      </c>
      <c r="H139" s="8">
        <v>-1.0</v>
      </c>
      <c r="I139" s="16" t="str">
        <f t="shared" si="1"/>
        <v>2-8</v>
      </c>
      <c r="J139" s="17" t="str">
        <f t="shared" si="2"/>
        <v>60</v>
      </c>
      <c r="K139" s="17" t="str">
        <f t="shared" si="3"/>
        <v>60</v>
      </c>
      <c r="L139" s="18" t="str">
        <f t="shared" si="4"/>
        <v>291.1</v>
      </c>
      <c r="M139" s="17" t="str">
        <f t="shared" si="5"/>
        <v>11</v>
      </c>
    </row>
    <row r="140" ht="14.25" customHeight="1">
      <c r="A140" s="8">
        <v>3.0</v>
      </c>
      <c r="B140" s="8">
        <v>1.0</v>
      </c>
      <c r="C140" s="8">
        <v>0.0</v>
      </c>
      <c r="D140" s="8" t="s">
        <v>113</v>
      </c>
      <c r="E140" s="8">
        <v>5.0</v>
      </c>
      <c r="F140" s="8">
        <v>0.0</v>
      </c>
      <c r="G140" s="8">
        <v>4.0</v>
      </c>
      <c r="H140" s="8">
        <v>-1.0</v>
      </c>
      <c r="I140" s="16" t="str">
        <f t="shared" si="1"/>
        <v>3-1</v>
      </c>
      <c r="J140" s="17" t="str">
        <f t="shared" si="2"/>
        <v>50</v>
      </c>
      <c r="K140" s="17" t="str">
        <f t="shared" si="3"/>
        <v>100</v>
      </c>
      <c r="L140" s="18" t="str">
        <f t="shared" si="4"/>
        <v>183.9</v>
      </c>
      <c r="M140" s="17" t="str">
        <f t="shared" si="5"/>
        <v>4</v>
      </c>
    </row>
    <row r="141" ht="14.25" customHeight="1">
      <c r="A141" s="8">
        <v>3.0</v>
      </c>
      <c r="B141" s="8">
        <v>2.0</v>
      </c>
      <c r="C141" s="8">
        <v>0.0</v>
      </c>
      <c r="D141" s="8" t="s">
        <v>113</v>
      </c>
      <c r="E141" s="8">
        <v>1.0</v>
      </c>
      <c r="F141" s="8">
        <v>0.0</v>
      </c>
      <c r="G141" s="8">
        <v>0.0</v>
      </c>
      <c r="H141" s="8">
        <v>-1.0</v>
      </c>
      <c r="I141" s="16" t="str">
        <f t="shared" si="1"/>
        <v>3-2</v>
      </c>
      <c r="J141" s="17" t="str">
        <f t="shared" si="2"/>
        <v>10</v>
      </c>
      <c r="K141" s="17" t="str">
        <f t="shared" si="3"/>
        <v>20</v>
      </c>
      <c r="L141" s="18" t="str">
        <f t="shared" si="4"/>
        <v>36.8</v>
      </c>
      <c r="M141" s="17" t="str">
        <f t="shared" si="5"/>
        <v>0</v>
      </c>
    </row>
    <row r="142" ht="14.25" customHeight="1">
      <c r="A142" s="8">
        <v>3.0</v>
      </c>
      <c r="B142" s="8">
        <v>2.0</v>
      </c>
      <c r="C142" s="8">
        <v>0.0</v>
      </c>
      <c r="D142" s="8" t="s">
        <v>113</v>
      </c>
      <c r="E142" s="8">
        <v>7.0</v>
      </c>
      <c r="F142" s="8">
        <v>0.0</v>
      </c>
      <c r="G142" s="8">
        <v>5.0</v>
      </c>
      <c r="H142" s="8">
        <v>-1.0</v>
      </c>
      <c r="I142" s="16" t="str">
        <f t="shared" si="1"/>
        <v>3-2</v>
      </c>
      <c r="J142" s="17" t="str">
        <f t="shared" si="2"/>
        <v>70</v>
      </c>
      <c r="K142" s="17" t="str">
        <f t="shared" si="3"/>
        <v>140</v>
      </c>
      <c r="L142" s="18" t="str">
        <f t="shared" si="4"/>
        <v>257.4</v>
      </c>
      <c r="M142" s="17" t="str">
        <f t="shared" si="5"/>
        <v>5</v>
      </c>
    </row>
    <row r="143" ht="14.25" customHeight="1">
      <c r="A143" s="8">
        <v>3.0</v>
      </c>
      <c r="B143" s="8">
        <v>3.0</v>
      </c>
      <c r="C143" s="8">
        <v>100.0</v>
      </c>
      <c r="D143" s="8" t="s">
        <v>115</v>
      </c>
      <c r="E143" s="8">
        <v>4.0</v>
      </c>
      <c r="F143" s="8">
        <v>3.0</v>
      </c>
      <c r="G143" s="8">
        <v>3.0</v>
      </c>
      <c r="H143" s="8">
        <v>-1.0</v>
      </c>
      <c r="I143" s="16" t="str">
        <f t="shared" si="1"/>
        <v>3-3</v>
      </c>
      <c r="J143" s="17" t="str">
        <f t="shared" si="2"/>
        <v>72</v>
      </c>
      <c r="K143" s="17" t="str">
        <f t="shared" si="3"/>
        <v>120</v>
      </c>
      <c r="L143" s="18" t="str">
        <f t="shared" si="4"/>
        <v>256.5</v>
      </c>
      <c r="M143" s="17" t="str">
        <f t="shared" si="5"/>
        <v>6</v>
      </c>
    </row>
    <row r="144" ht="14.25" customHeight="1">
      <c r="A144" s="8">
        <v>3.0</v>
      </c>
      <c r="B144" s="8">
        <v>3.0</v>
      </c>
      <c r="C144" s="8">
        <v>100.0</v>
      </c>
      <c r="D144" s="8" t="s">
        <v>113</v>
      </c>
      <c r="E144" s="8">
        <v>6.0</v>
      </c>
      <c r="F144" s="8">
        <v>0.0</v>
      </c>
      <c r="G144" s="8">
        <v>4.0</v>
      </c>
      <c r="H144" s="8">
        <v>-1.0</v>
      </c>
      <c r="I144" s="16" t="str">
        <f t="shared" si="1"/>
        <v>3-3</v>
      </c>
      <c r="J144" s="17" t="str">
        <f t="shared" si="2"/>
        <v>60</v>
      </c>
      <c r="K144" s="17" t="str">
        <f t="shared" si="3"/>
        <v>120</v>
      </c>
      <c r="L144" s="18" t="str">
        <f t="shared" si="4"/>
        <v>220.6</v>
      </c>
      <c r="M144" s="17" t="str">
        <f t="shared" si="5"/>
        <v>4</v>
      </c>
    </row>
    <row r="145" ht="14.25" customHeight="1">
      <c r="A145" s="8">
        <v>3.0</v>
      </c>
      <c r="B145" s="8">
        <v>4.0</v>
      </c>
      <c r="C145" s="8">
        <v>0.0</v>
      </c>
      <c r="D145" s="8" t="s">
        <v>123</v>
      </c>
      <c r="E145" s="8">
        <v>3.0</v>
      </c>
      <c r="F145" s="8">
        <v>3.0</v>
      </c>
      <c r="G145" s="8">
        <v>2.0</v>
      </c>
      <c r="H145" s="8">
        <v>-1.0</v>
      </c>
      <c r="I145" s="16" t="str">
        <f t="shared" si="1"/>
        <v>3-4</v>
      </c>
      <c r="J145" s="17" t="str">
        <f t="shared" si="2"/>
        <v>42</v>
      </c>
      <c r="K145" s="17" t="str">
        <f t="shared" si="3"/>
        <v>30</v>
      </c>
      <c r="L145" s="18" t="str">
        <f t="shared" si="4"/>
        <v>67.1</v>
      </c>
      <c r="M145" s="17" t="str">
        <f t="shared" si="5"/>
        <v>5</v>
      </c>
    </row>
    <row r="146" ht="14.25" customHeight="1">
      <c r="A146" s="8">
        <v>3.0</v>
      </c>
      <c r="B146" s="8">
        <v>4.0</v>
      </c>
      <c r="C146" s="8">
        <v>0.0</v>
      </c>
      <c r="D146" s="8" t="s">
        <v>113</v>
      </c>
      <c r="E146" s="8">
        <v>8.0</v>
      </c>
      <c r="F146" s="8">
        <v>0.0</v>
      </c>
      <c r="G146" s="8">
        <v>6.0</v>
      </c>
      <c r="H146" s="8">
        <v>-1.0</v>
      </c>
      <c r="I146" s="16" t="str">
        <f t="shared" si="1"/>
        <v>3-4</v>
      </c>
      <c r="J146" s="17" t="str">
        <f t="shared" si="2"/>
        <v>80</v>
      </c>
      <c r="K146" s="17" t="str">
        <f t="shared" si="3"/>
        <v>160</v>
      </c>
      <c r="L146" s="18" t="str">
        <f t="shared" si="4"/>
        <v>294.2</v>
      </c>
      <c r="M146" s="17" t="str">
        <f t="shared" si="5"/>
        <v>6</v>
      </c>
    </row>
    <row r="147" ht="14.25" customHeight="1">
      <c r="A147" s="8">
        <v>3.0</v>
      </c>
      <c r="B147" s="8">
        <v>5.0</v>
      </c>
      <c r="C147" s="8">
        <v>100.0</v>
      </c>
      <c r="D147" s="8" t="s">
        <v>123</v>
      </c>
      <c r="E147" s="8">
        <v>2.0</v>
      </c>
      <c r="F147" s="8">
        <v>3.0</v>
      </c>
      <c r="G147" s="8">
        <v>2.0</v>
      </c>
      <c r="H147" s="8">
        <v>-1.0</v>
      </c>
      <c r="I147" s="16" t="str">
        <f t="shared" si="1"/>
        <v>3-5</v>
      </c>
      <c r="J147" s="17" t="str">
        <f t="shared" si="2"/>
        <v>28</v>
      </c>
      <c r="K147" s="17" t="str">
        <f t="shared" si="3"/>
        <v>20</v>
      </c>
      <c r="L147" s="18" t="str">
        <f t="shared" si="4"/>
        <v>44.7</v>
      </c>
      <c r="M147" s="17" t="str">
        <f t="shared" si="5"/>
        <v>5</v>
      </c>
    </row>
    <row r="148" ht="14.25" customHeight="1">
      <c r="A148" s="8">
        <v>3.0</v>
      </c>
      <c r="B148" s="8">
        <v>5.0</v>
      </c>
      <c r="C148" s="8">
        <v>100.0</v>
      </c>
      <c r="D148" s="8" t="s">
        <v>113</v>
      </c>
      <c r="E148" s="8">
        <v>6.0</v>
      </c>
      <c r="F148" s="8">
        <v>0.0</v>
      </c>
      <c r="G148" s="8">
        <v>4.0</v>
      </c>
      <c r="H148" s="8">
        <v>-1.0</v>
      </c>
      <c r="I148" s="16" t="str">
        <f t="shared" si="1"/>
        <v>3-5</v>
      </c>
      <c r="J148" s="17" t="str">
        <f t="shared" si="2"/>
        <v>60</v>
      </c>
      <c r="K148" s="17" t="str">
        <f t="shared" si="3"/>
        <v>120</v>
      </c>
      <c r="L148" s="18" t="str">
        <f t="shared" si="4"/>
        <v>220.6</v>
      </c>
      <c r="M148" s="17" t="str">
        <f t="shared" si="5"/>
        <v>4</v>
      </c>
    </row>
    <row r="149" ht="14.25" customHeight="1">
      <c r="A149" s="8">
        <v>3.0</v>
      </c>
      <c r="B149" s="8">
        <v>6.0</v>
      </c>
      <c r="C149" s="8">
        <v>0.0</v>
      </c>
      <c r="D149" s="8" t="s">
        <v>123</v>
      </c>
      <c r="E149" s="8">
        <v>1.0</v>
      </c>
      <c r="F149" s="8">
        <v>6.0</v>
      </c>
      <c r="G149" s="8">
        <v>2.0</v>
      </c>
      <c r="H149" s="8">
        <v>-1.0</v>
      </c>
      <c r="I149" s="16" t="str">
        <f t="shared" si="1"/>
        <v>3-6</v>
      </c>
      <c r="J149" s="17" t="str">
        <f t="shared" si="2"/>
        <v>14</v>
      </c>
      <c r="K149" s="17" t="str">
        <f t="shared" si="3"/>
        <v>10</v>
      </c>
      <c r="L149" s="18" t="str">
        <f t="shared" si="4"/>
        <v>22.4</v>
      </c>
      <c r="M149" s="17" t="str">
        <f t="shared" si="5"/>
        <v>8</v>
      </c>
    </row>
    <row r="150" ht="14.25" customHeight="1">
      <c r="A150" s="8">
        <v>3.0</v>
      </c>
      <c r="B150" s="8">
        <v>6.0</v>
      </c>
      <c r="C150" s="8">
        <v>0.0</v>
      </c>
      <c r="D150" s="8" t="s">
        <v>115</v>
      </c>
      <c r="E150" s="8">
        <v>2.0</v>
      </c>
      <c r="F150" s="8">
        <v>3.0</v>
      </c>
      <c r="G150" s="8">
        <v>2.0</v>
      </c>
      <c r="H150" s="8">
        <v>-1.0</v>
      </c>
      <c r="I150" s="16" t="str">
        <f t="shared" si="1"/>
        <v>3-6</v>
      </c>
      <c r="J150" s="17" t="str">
        <f t="shared" si="2"/>
        <v>36</v>
      </c>
      <c r="K150" s="17" t="str">
        <f t="shared" si="3"/>
        <v>60</v>
      </c>
      <c r="L150" s="18" t="str">
        <f t="shared" si="4"/>
        <v>128.2</v>
      </c>
      <c r="M150" s="17" t="str">
        <f t="shared" si="5"/>
        <v>5</v>
      </c>
    </row>
    <row r="151" ht="14.25" customHeight="1">
      <c r="A151" s="8">
        <v>3.0</v>
      </c>
      <c r="B151" s="8">
        <v>6.0</v>
      </c>
      <c r="C151" s="8">
        <v>0.0</v>
      </c>
      <c r="D151" s="8" t="s">
        <v>113</v>
      </c>
      <c r="E151" s="8">
        <v>4.0</v>
      </c>
      <c r="F151" s="8">
        <v>0.0</v>
      </c>
      <c r="G151" s="8">
        <v>3.0</v>
      </c>
      <c r="H151" s="8">
        <v>-1.0</v>
      </c>
      <c r="I151" s="16" t="str">
        <f t="shared" si="1"/>
        <v>3-6</v>
      </c>
      <c r="J151" s="17" t="str">
        <f t="shared" si="2"/>
        <v>40</v>
      </c>
      <c r="K151" s="17" t="str">
        <f t="shared" si="3"/>
        <v>80</v>
      </c>
      <c r="L151" s="18" t="str">
        <f t="shared" si="4"/>
        <v>147.1</v>
      </c>
      <c r="M151" s="17" t="str">
        <f t="shared" si="5"/>
        <v>3</v>
      </c>
    </row>
    <row r="152" ht="14.25" customHeight="1">
      <c r="A152" s="8">
        <v>3.0</v>
      </c>
      <c r="B152" s="8">
        <v>7.0</v>
      </c>
      <c r="C152" s="8">
        <v>200.0</v>
      </c>
      <c r="D152" s="8" t="s">
        <v>120</v>
      </c>
      <c r="E152" s="8">
        <v>2.0</v>
      </c>
      <c r="F152" s="8">
        <v>6.0</v>
      </c>
      <c r="G152" s="8">
        <v>2.0</v>
      </c>
      <c r="H152" s="8">
        <v>-1.0</v>
      </c>
      <c r="I152" s="16" t="str">
        <f t="shared" si="1"/>
        <v>3-7</v>
      </c>
      <c r="J152" s="17" t="str">
        <f t="shared" si="2"/>
        <v>30</v>
      </c>
      <c r="K152" s="17" t="str">
        <f t="shared" si="3"/>
        <v>40</v>
      </c>
      <c r="L152" s="18" t="str">
        <f t="shared" si="4"/>
        <v>120.3</v>
      </c>
      <c r="M152" s="17" t="str">
        <f t="shared" si="5"/>
        <v>8</v>
      </c>
    </row>
    <row r="153" ht="14.25" customHeight="1">
      <c r="A153" s="8">
        <v>3.0</v>
      </c>
      <c r="B153" s="8">
        <v>7.0</v>
      </c>
      <c r="C153" s="8">
        <v>200.0</v>
      </c>
      <c r="D153" s="8" t="s">
        <v>123</v>
      </c>
      <c r="E153" s="8">
        <v>1.0</v>
      </c>
      <c r="F153" s="8">
        <v>12.0</v>
      </c>
      <c r="G153" s="8">
        <v>2.0</v>
      </c>
      <c r="H153" s="8">
        <v>-1.0</v>
      </c>
      <c r="I153" s="16" t="str">
        <f t="shared" si="1"/>
        <v>3-7</v>
      </c>
      <c r="J153" s="17" t="str">
        <f t="shared" si="2"/>
        <v>14</v>
      </c>
      <c r="K153" s="17" t="str">
        <f t="shared" si="3"/>
        <v>10</v>
      </c>
      <c r="L153" s="18" t="str">
        <f t="shared" si="4"/>
        <v>22.4</v>
      </c>
      <c r="M153" s="17" t="str">
        <f t="shared" si="5"/>
        <v>14</v>
      </c>
    </row>
    <row r="154" ht="14.25" customHeight="1">
      <c r="A154" s="8">
        <v>3.0</v>
      </c>
      <c r="B154" s="8">
        <v>7.0</v>
      </c>
      <c r="C154" s="8">
        <v>200.0</v>
      </c>
      <c r="D154" s="8" t="s">
        <v>113</v>
      </c>
      <c r="E154" s="8">
        <v>2.0</v>
      </c>
      <c r="F154" s="8">
        <v>0.0</v>
      </c>
      <c r="G154" s="8">
        <v>2.0</v>
      </c>
      <c r="H154" s="8">
        <v>-1.0</v>
      </c>
      <c r="I154" s="16" t="str">
        <f t="shared" si="1"/>
        <v>3-7</v>
      </c>
      <c r="J154" s="17" t="str">
        <f t="shared" si="2"/>
        <v>20</v>
      </c>
      <c r="K154" s="17" t="str">
        <f t="shared" si="3"/>
        <v>40</v>
      </c>
      <c r="L154" s="18" t="str">
        <f t="shared" si="4"/>
        <v>73.5</v>
      </c>
      <c r="M154" s="17" t="str">
        <f t="shared" si="5"/>
        <v>2</v>
      </c>
    </row>
    <row r="155" ht="14.25" customHeight="1">
      <c r="A155" s="8">
        <v>3.0</v>
      </c>
      <c r="B155" s="8">
        <v>8.0</v>
      </c>
      <c r="C155" s="8">
        <v>100.0</v>
      </c>
      <c r="D155" s="8" t="s">
        <v>115</v>
      </c>
      <c r="E155" s="8">
        <v>4.0</v>
      </c>
      <c r="F155" s="8">
        <v>3.0</v>
      </c>
      <c r="G155" s="8">
        <v>3.0</v>
      </c>
      <c r="H155" s="8">
        <v>-1.0</v>
      </c>
      <c r="I155" s="16" t="str">
        <f t="shared" si="1"/>
        <v>3-8</v>
      </c>
      <c r="J155" s="17" t="str">
        <f t="shared" si="2"/>
        <v>72</v>
      </c>
      <c r="K155" s="17" t="str">
        <f t="shared" si="3"/>
        <v>120</v>
      </c>
      <c r="L155" s="18" t="str">
        <f t="shared" si="4"/>
        <v>256.5</v>
      </c>
      <c r="M155" s="17" t="str">
        <f t="shared" si="5"/>
        <v>6</v>
      </c>
    </row>
    <row r="156" ht="14.25" customHeight="1">
      <c r="A156" s="8">
        <v>3.0</v>
      </c>
      <c r="B156" s="8">
        <v>8.0</v>
      </c>
      <c r="C156" s="8">
        <v>100.0</v>
      </c>
      <c r="D156" s="8" t="s">
        <v>113</v>
      </c>
      <c r="E156" s="8">
        <v>8.0</v>
      </c>
      <c r="F156" s="8">
        <v>0.0</v>
      </c>
      <c r="G156" s="8">
        <v>6.0</v>
      </c>
      <c r="H156" s="8">
        <v>-1.0</v>
      </c>
      <c r="I156" s="16" t="str">
        <f t="shared" si="1"/>
        <v>3-8</v>
      </c>
      <c r="J156" s="17" t="str">
        <f t="shared" si="2"/>
        <v>80</v>
      </c>
      <c r="K156" s="17" t="str">
        <f t="shared" si="3"/>
        <v>160</v>
      </c>
      <c r="L156" s="18" t="str">
        <f t="shared" si="4"/>
        <v>294.2</v>
      </c>
      <c r="M156" s="17" t="str">
        <f t="shared" si="5"/>
        <v>6</v>
      </c>
    </row>
    <row r="157" ht="14.25" customHeight="1">
      <c r="A157" s="8">
        <v>3.0</v>
      </c>
      <c r="B157" s="8">
        <v>9.0</v>
      </c>
      <c r="C157" s="8">
        <v>200.0</v>
      </c>
      <c r="D157" s="8" t="s">
        <v>115</v>
      </c>
      <c r="E157" s="8">
        <v>4.0</v>
      </c>
      <c r="F157" s="8">
        <v>3.0</v>
      </c>
      <c r="G157" s="8">
        <v>2.0</v>
      </c>
      <c r="H157" s="8">
        <v>-1.0</v>
      </c>
      <c r="I157" s="16" t="str">
        <f t="shared" si="1"/>
        <v>3-9</v>
      </c>
      <c r="J157" s="17" t="str">
        <f t="shared" si="2"/>
        <v>72</v>
      </c>
      <c r="K157" s="17" t="str">
        <f t="shared" si="3"/>
        <v>120</v>
      </c>
      <c r="L157" s="18" t="str">
        <f t="shared" si="4"/>
        <v>256.5</v>
      </c>
      <c r="M157" s="17" t="str">
        <f t="shared" si="5"/>
        <v>5</v>
      </c>
    </row>
    <row r="158" ht="14.25" customHeight="1">
      <c r="A158" s="8">
        <v>3.0</v>
      </c>
      <c r="B158" s="8">
        <v>9.0</v>
      </c>
      <c r="C158" s="8">
        <v>200.0</v>
      </c>
      <c r="D158" s="8" t="s">
        <v>123</v>
      </c>
      <c r="E158" s="8">
        <v>4.0</v>
      </c>
      <c r="F158" s="8">
        <v>3.0</v>
      </c>
      <c r="G158" s="8">
        <v>3.0</v>
      </c>
      <c r="H158" s="8">
        <v>-1.0</v>
      </c>
      <c r="I158" s="16" t="str">
        <f t="shared" si="1"/>
        <v>3-9</v>
      </c>
      <c r="J158" s="17" t="str">
        <f t="shared" si="2"/>
        <v>56</v>
      </c>
      <c r="K158" s="17" t="str">
        <f t="shared" si="3"/>
        <v>40</v>
      </c>
      <c r="L158" s="18" t="str">
        <f t="shared" si="4"/>
        <v>89.4</v>
      </c>
      <c r="M158" s="17" t="str">
        <f t="shared" si="5"/>
        <v>6</v>
      </c>
    </row>
    <row r="159" ht="14.25" customHeight="1">
      <c r="A159" s="8">
        <v>3.0</v>
      </c>
      <c r="B159" s="8">
        <v>10.0</v>
      </c>
      <c r="C159" s="8">
        <v>100.0</v>
      </c>
      <c r="D159" s="8" t="s">
        <v>113</v>
      </c>
      <c r="E159" s="8">
        <v>2.0</v>
      </c>
      <c r="F159" s="8">
        <v>0.0</v>
      </c>
      <c r="G159" s="8">
        <v>2.0</v>
      </c>
      <c r="H159" s="8">
        <v>-1.0</v>
      </c>
      <c r="I159" s="16" t="str">
        <f t="shared" si="1"/>
        <v>3-10</v>
      </c>
      <c r="J159" s="17" t="str">
        <f t="shared" si="2"/>
        <v>20</v>
      </c>
      <c r="K159" s="17" t="str">
        <f t="shared" si="3"/>
        <v>40</v>
      </c>
      <c r="L159" s="18" t="str">
        <f t="shared" si="4"/>
        <v>73.5</v>
      </c>
      <c r="M159" s="17" t="str">
        <f t="shared" si="5"/>
        <v>2</v>
      </c>
    </row>
    <row r="160" ht="14.25" customHeight="1">
      <c r="A160" s="8">
        <v>3.0</v>
      </c>
      <c r="B160" s="8">
        <v>10.0</v>
      </c>
      <c r="C160" s="8">
        <v>100.0</v>
      </c>
      <c r="D160" s="8" t="s">
        <v>115</v>
      </c>
      <c r="E160" s="8">
        <v>2.0</v>
      </c>
      <c r="F160" s="8">
        <v>3.0</v>
      </c>
      <c r="G160" s="8">
        <v>2.0</v>
      </c>
      <c r="H160" s="8">
        <v>-1.0</v>
      </c>
      <c r="I160" s="16" t="str">
        <f t="shared" si="1"/>
        <v>3-10</v>
      </c>
      <c r="J160" s="17" t="str">
        <f t="shared" si="2"/>
        <v>36</v>
      </c>
      <c r="K160" s="17" t="str">
        <f t="shared" si="3"/>
        <v>60</v>
      </c>
      <c r="L160" s="18" t="str">
        <f t="shared" si="4"/>
        <v>128.2</v>
      </c>
      <c r="M160" s="17" t="str">
        <f t="shared" si="5"/>
        <v>5</v>
      </c>
    </row>
    <row r="161" ht="14.25" customHeight="1">
      <c r="A161" s="8">
        <v>3.0</v>
      </c>
      <c r="B161" s="8">
        <v>10.0</v>
      </c>
      <c r="C161" s="8">
        <v>100.0</v>
      </c>
      <c r="D161" s="8" t="s">
        <v>123</v>
      </c>
      <c r="E161" s="8">
        <v>4.0</v>
      </c>
      <c r="F161" s="8">
        <v>12.0</v>
      </c>
      <c r="G161" s="8">
        <v>3.0</v>
      </c>
      <c r="H161" s="8">
        <v>-1.0</v>
      </c>
      <c r="I161" s="16" t="str">
        <f t="shared" si="1"/>
        <v>3-10</v>
      </c>
      <c r="J161" s="17" t="str">
        <f t="shared" si="2"/>
        <v>56</v>
      </c>
      <c r="K161" s="17" t="str">
        <f t="shared" si="3"/>
        <v>40</v>
      </c>
      <c r="L161" s="18" t="str">
        <f t="shared" si="4"/>
        <v>89.4</v>
      </c>
      <c r="M161" s="17" t="str">
        <f t="shared" si="5"/>
        <v>15</v>
      </c>
    </row>
    <row r="162" ht="14.25" customHeight="1">
      <c r="A162" s="8">
        <v>3.0</v>
      </c>
      <c r="B162" s="8">
        <v>10.0</v>
      </c>
      <c r="C162" s="8">
        <v>100.0</v>
      </c>
      <c r="D162" s="8" t="s">
        <v>120</v>
      </c>
      <c r="E162" s="8">
        <v>2.0</v>
      </c>
      <c r="F162" s="8">
        <v>6.0</v>
      </c>
      <c r="G162" s="8">
        <v>2.0</v>
      </c>
      <c r="H162" s="8">
        <v>-1.0</v>
      </c>
      <c r="I162" s="16" t="str">
        <f t="shared" si="1"/>
        <v>3-10</v>
      </c>
      <c r="J162" s="17" t="str">
        <f t="shared" si="2"/>
        <v>30</v>
      </c>
      <c r="K162" s="17" t="str">
        <f t="shared" si="3"/>
        <v>40</v>
      </c>
      <c r="L162" s="18" t="str">
        <f t="shared" si="4"/>
        <v>120.3</v>
      </c>
      <c r="M162" s="17" t="str">
        <f t="shared" si="5"/>
        <v>8</v>
      </c>
    </row>
    <row r="163" ht="14.25" customHeight="1">
      <c r="A163" s="8">
        <v>4.0</v>
      </c>
      <c r="B163" s="8">
        <v>1.0</v>
      </c>
      <c r="C163" s="8">
        <v>0.0</v>
      </c>
      <c r="D163" s="8" t="s">
        <v>113</v>
      </c>
      <c r="E163" s="8">
        <v>6.0</v>
      </c>
      <c r="F163" s="8">
        <v>0.0</v>
      </c>
      <c r="G163" s="8">
        <v>4.0</v>
      </c>
      <c r="H163" s="8">
        <v>-1.0</v>
      </c>
      <c r="I163" s="16" t="str">
        <f t="shared" si="1"/>
        <v>4-1</v>
      </c>
      <c r="J163" s="17" t="str">
        <f t="shared" si="2"/>
        <v>60</v>
      </c>
      <c r="K163" s="17" t="str">
        <f t="shared" si="3"/>
        <v>120</v>
      </c>
      <c r="L163" s="18" t="str">
        <f t="shared" si="4"/>
        <v>220.6</v>
      </c>
      <c r="M163" s="17" t="str">
        <f t="shared" si="5"/>
        <v>4</v>
      </c>
    </row>
    <row r="164" ht="14.25" customHeight="1">
      <c r="A164" s="8">
        <v>4.0</v>
      </c>
      <c r="B164" s="8">
        <v>2.0</v>
      </c>
      <c r="C164" s="8">
        <v>0.0</v>
      </c>
      <c r="D164" s="8" t="s">
        <v>115</v>
      </c>
      <c r="E164" s="8">
        <v>1.0</v>
      </c>
      <c r="F164" s="8">
        <v>0.0</v>
      </c>
      <c r="G164" s="8">
        <v>0.0</v>
      </c>
      <c r="H164" s="8">
        <v>-1.0</v>
      </c>
      <c r="I164" s="16" t="str">
        <f t="shared" si="1"/>
        <v>4-2</v>
      </c>
      <c r="J164" s="17" t="str">
        <f t="shared" si="2"/>
        <v>18</v>
      </c>
      <c r="K164" s="17" t="str">
        <f t="shared" si="3"/>
        <v>30</v>
      </c>
      <c r="L164" s="18" t="str">
        <f t="shared" si="4"/>
        <v>64.1</v>
      </c>
      <c r="M164" s="17" t="str">
        <f t="shared" si="5"/>
        <v>0</v>
      </c>
    </row>
    <row r="165" ht="14.25" customHeight="1">
      <c r="A165" s="8">
        <v>4.0</v>
      </c>
      <c r="B165" s="8">
        <v>2.0</v>
      </c>
      <c r="C165" s="8">
        <v>0.0</v>
      </c>
      <c r="D165" s="8" t="s">
        <v>113</v>
      </c>
      <c r="E165" s="8">
        <v>7.0</v>
      </c>
      <c r="F165" s="8">
        <v>0.0</v>
      </c>
      <c r="G165" s="8">
        <v>5.0</v>
      </c>
      <c r="H165" s="8">
        <v>-1.0</v>
      </c>
      <c r="I165" s="16" t="str">
        <f t="shared" si="1"/>
        <v>4-2</v>
      </c>
      <c r="J165" s="17" t="str">
        <f t="shared" si="2"/>
        <v>70</v>
      </c>
      <c r="K165" s="17" t="str">
        <f t="shared" si="3"/>
        <v>140</v>
      </c>
      <c r="L165" s="18" t="str">
        <f t="shared" si="4"/>
        <v>257.4</v>
      </c>
      <c r="M165" s="17" t="str">
        <f t="shared" si="5"/>
        <v>5</v>
      </c>
    </row>
    <row r="166" ht="14.25" customHeight="1">
      <c r="A166" s="8">
        <v>4.0</v>
      </c>
      <c r="B166" s="8">
        <v>3.0</v>
      </c>
      <c r="C166" s="8">
        <v>100.0</v>
      </c>
      <c r="D166" s="8" t="s">
        <v>117</v>
      </c>
      <c r="E166" s="8">
        <v>3.0</v>
      </c>
      <c r="F166" s="8">
        <v>0.0</v>
      </c>
      <c r="G166" s="8">
        <v>4.0</v>
      </c>
      <c r="H166" s="8">
        <v>-1.0</v>
      </c>
      <c r="I166" s="16" t="str">
        <f t="shared" si="1"/>
        <v>4-3</v>
      </c>
      <c r="J166" s="17" t="str">
        <f t="shared" si="2"/>
        <v>90</v>
      </c>
      <c r="K166" s="17" t="str">
        <f t="shared" si="3"/>
        <v>90</v>
      </c>
      <c r="L166" s="18" t="str">
        <f t="shared" si="4"/>
        <v>436.7</v>
      </c>
      <c r="M166" s="17" t="str">
        <f t="shared" si="5"/>
        <v>4</v>
      </c>
    </row>
    <row r="167" ht="14.25" customHeight="1">
      <c r="A167" s="8">
        <v>4.0</v>
      </c>
      <c r="B167" s="8">
        <v>3.0</v>
      </c>
      <c r="C167" s="8">
        <v>100.0</v>
      </c>
      <c r="D167" s="8" t="s">
        <v>113</v>
      </c>
      <c r="E167" s="8">
        <v>5.0</v>
      </c>
      <c r="F167" s="8">
        <v>0.0</v>
      </c>
      <c r="G167" s="8">
        <v>4.0</v>
      </c>
      <c r="H167" s="8">
        <v>-1.0</v>
      </c>
      <c r="I167" s="16" t="str">
        <f t="shared" si="1"/>
        <v>4-3</v>
      </c>
      <c r="J167" s="17" t="str">
        <f t="shared" si="2"/>
        <v>50</v>
      </c>
      <c r="K167" s="17" t="str">
        <f t="shared" si="3"/>
        <v>100</v>
      </c>
      <c r="L167" s="18" t="str">
        <f t="shared" si="4"/>
        <v>183.9</v>
      </c>
      <c r="M167" s="17" t="str">
        <f t="shared" si="5"/>
        <v>4</v>
      </c>
    </row>
    <row r="168" ht="14.25" customHeight="1">
      <c r="A168" s="8">
        <v>4.0</v>
      </c>
      <c r="B168" s="8">
        <v>3.0</v>
      </c>
      <c r="C168" s="8">
        <v>100.0</v>
      </c>
      <c r="D168" s="8" t="s">
        <v>115</v>
      </c>
      <c r="E168" s="8">
        <v>3.0</v>
      </c>
      <c r="F168" s="8">
        <v>3.0</v>
      </c>
      <c r="G168" s="8">
        <v>2.0</v>
      </c>
      <c r="H168" s="8">
        <v>-1.0</v>
      </c>
      <c r="I168" s="16" t="str">
        <f t="shared" si="1"/>
        <v>4-3</v>
      </c>
      <c r="J168" s="17" t="str">
        <f t="shared" si="2"/>
        <v>54</v>
      </c>
      <c r="K168" s="17" t="str">
        <f t="shared" si="3"/>
        <v>90</v>
      </c>
      <c r="L168" s="18" t="str">
        <f t="shared" si="4"/>
        <v>192.4</v>
      </c>
      <c r="M168" s="17" t="str">
        <f t="shared" si="5"/>
        <v>5</v>
      </c>
    </row>
    <row r="169" ht="14.25" customHeight="1">
      <c r="A169" s="8">
        <v>4.0</v>
      </c>
      <c r="B169" s="8">
        <v>4.0</v>
      </c>
      <c r="C169" s="8">
        <v>0.0</v>
      </c>
      <c r="D169" s="8" t="s">
        <v>113</v>
      </c>
      <c r="E169" s="8">
        <v>6.0</v>
      </c>
      <c r="F169" s="8">
        <v>0.0</v>
      </c>
      <c r="G169" s="8">
        <v>4.0</v>
      </c>
      <c r="H169" s="8">
        <v>-1.0</v>
      </c>
      <c r="I169" s="16" t="str">
        <f t="shared" si="1"/>
        <v>4-4</v>
      </c>
      <c r="J169" s="17" t="str">
        <f t="shared" si="2"/>
        <v>60</v>
      </c>
      <c r="K169" s="17" t="str">
        <f t="shared" si="3"/>
        <v>120</v>
      </c>
      <c r="L169" s="18" t="str">
        <f t="shared" si="4"/>
        <v>220.6</v>
      </c>
      <c r="M169" s="17" t="str">
        <f t="shared" si="5"/>
        <v>4</v>
      </c>
    </row>
    <row r="170" ht="14.25" customHeight="1">
      <c r="A170" s="8">
        <v>4.0</v>
      </c>
      <c r="B170" s="8">
        <v>4.0</v>
      </c>
      <c r="C170" s="8">
        <v>0.0</v>
      </c>
      <c r="D170" s="8" t="s">
        <v>115</v>
      </c>
      <c r="E170" s="8">
        <v>3.0</v>
      </c>
      <c r="F170" s="8">
        <v>3.0</v>
      </c>
      <c r="G170" s="8">
        <v>2.0</v>
      </c>
      <c r="H170" s="8">
        <v>-1.0</v>
      </c>
      <c r="I170" s="16" t="str">
        <f t="shared" si="1"/>
        <v>4-4</v>
      </c>
      <c r="J170" s="17" t="str">
        <f t="shared" si="2"/>
        <v>54</v>
      </c>
      <c r="K170" s="17" t="str">
        <f t="shared" si="3"/>
        <v>90</v>
      </c>
      <c r="L170" s="18" t="str">
        <f t="shared" si="4"/>
        <v>192.4</v>
      </c>
      <c r="M170" s="17" t="str">
        <f t="shared" si="5"/>
        <v>5</v>
      </c>
    </row>
    <row r="171" ht="14.25" customHeight="1">
      <c r="A171" s="8">
        <v>4.0</v>
      </c>
      <c r="B171" s="8">
        <v>5.0</v>
      </c>
      <c r="C171" s="8">
        <v>100.0</v>
      </c>
      <c r="D171" s="8" t="s">
        <v>123</v>
      </c>
      <c r="E171" s="8">
        <v>3.0</v>
      </c>
      <c r="F171" s="8">
        <v>3.0</v>
      </c>
      <c r="G171" s="8">
        <v>2.0</v>
      </c>
      <c r="H171" s="8">
        <v>-1.0</v>
      </c>
      <c r="I171" s="16" t="str">
        <f t="shared" si="1"/>
        <v>4-5</v>
      </c>
      <c r="J171" s="17" t="str">
        <f t="shared" si="2"/>
        <v>42</v>
      </c>
      <c r="K171" s="17" t="str">
        <f t="shared" si="3"/>
        <v>30</v>
      </c>
      <c r="L171" s="18" t="str">
        <f t="shared" si="4"/>
        <v>67.1</v>
      </c>
      <c r="M171" s="17" t="str">
        <f t="shared" si="5"/>
        <v>5</v>
      </c>
    </row>
    <row r="172" ht="14.25" customHeight="1">
      <c r="A172" s="8">
        <v>4.0</v>
      </c>
      <c r="B172" s="8">
        <v>5.0</v>
      </c>
      <c r="C172" s="8">
        <v>100.0</v>
      </c>
      <c r="D172" s="8" t="s">
        <v>113</v>
      </c>
      <c r="E172" s="8">
        <v>7.0</v>
      </c>
      <c r="F172" s="8">
        <v>0.0</v>
      </c>
      <c r="G172" s="8">
        <v>5.0</v>
      </c>
      <c r="H172" s="8">
        <v>-1.0</v>
      </c>
      <c r="I172" s="16" t="str">
        <f t="shared" si="1"/>
        <v>4-5</v>
      </c>
      <c r="J172" s="17" t="str">
        <f t="shared" si="2"/>
        <v>70</v>
      </c>
      <c r="K172" s="17" t="str">
        <f t="shared" si="3"/>
        <v>140</v>
      </c>
      <c r="L172" s="18" t="str">
        <f t="shared" si="4"/>
        <v>257.4</v>
      </c>
      <c r="M172" s="17" t="str">
        <f t="shared" si="5"/>
        <v>5</v>
      </c>
    </row>
    <row r="173" ht="14.25" customHeight="1">
      <c r="A173" s="8">
        <v>4.0</v>
      </c>
      <c r="B173" s="8">
        <v>6.0</v>
      </c>
      <c r="C173" s="8">
        <v>0.0</v>
      </c>
      <c r="D173" s="8" t="s">
        <v>115</v>
      </c>
      <c r="E173" s="8">
        <v>3.0</v>
      </c>
      <c r="F173" s="8">
        <v>3.0</v>
      </c>
      <c r="G173" s="8">
        <v>2.0</v>
      </c>
      <c r="H173" s="8">
        <v>-1.0</v>
      </c>
      <c r="I173" s="16" t="str">
        <f t="shared" si="1"/>
        <v>4-6</v>
      </c>
      <c r="J173" s="17" t="str">
        <f t="shared" si="2"/>
        <v>54</v>
      </c>
      <c r="K173" s="17" t="str">
        <f t="shared" si="3"/>
        <v>90</v>
      </c>
      <c r="L173" s="18" t="str">
        <f t="shared" si="4"/>
        <v>192.4</v>
      </c>
      <c r="M173" s="17" t="str">
        <f t="shared" si="5"/>
        <v>5</v>
      </c>
    </row>
    <row r="174" ht="14.25" customHeight="1">
      <c r="A174" s="8">
        <v>4.0</v>
      </c>
      <c r="B174" s="8">
        <v>6.0</v>
      </c>
      <c r="C174" s="8">
        <v>0.0</v>
      </c>
      <c r="D174" s="8" t="s">
        <v>113</v>
      </c>
      <c r="E174" s="8">
        <v>6.0</v>
      </c>
      <c r="F174" s="8">
        <v>0.0</v>
      </c>
      <c r="G174" s="8">
        <v>4.0</v>
      </c>
      <c r="H174" s="8">
        <v>-1.0</v>
      </c>
      <c r="I174" s="16" t="str">
        <f t="shared" si="1"/>
        <v>4-6</v>
      </c>
      <c r="J174" s="17" t="str">
        <f t="shared" si="2"/>
        <v>60</v>
      </c>
      <c r="K174" s="17" t="str">
        <f t="shared" si="3"/>
        <v>120</v>
      </c>
      <c r="L174" s="18" t="str">
        <f t="shared" si="4"/>
        <v>220.6</v>
      </c>
      <c r="M174" s="17" t="str">
        <f t="shared" si="5"/>
        <v>4</v>
      </c>
    </row>
    <row r="175" ht="14.25" customHeight="1">
      <c r="A175" s="8">
        <v>4.0</v>
      </c>
      <c r="B175" s="8">
        <v>6.0</v>
      </c>
      <c r="C175" s="8">
        <v>0.0</v>
      </c>
      <c r="D175" s="8" t="s">
        <v>123</v>
      </c>
      <c r="E175" s="8">
        <v>2.0</v>
      </c>
      <c r="F175" s="8">
        <v>6.0</v>
      </c>
      <c r="G175" s="8">
        <v>2.0</v>
      </c>
      <c r="H175" s="8">
        <v>-1.0</v>
      </c>
      <c r="I175" s="16" t="str">
        <f t="shared" si="1"/>
        <v>4-6</v>
      </c>
      <c r="J175" s="17" t="str">
        <f t="shared" si="2"/>
        <v>28</v>
      </c>
      <c r="K175" s="17" t="str">
        <f t="shared" si="3"/>
        <v>20</v>
      </c>
      <c r="L175" s="18" t="str">
        <f t="shared" si="4"/>
        <v>44.7</v>
      </c>
      <c r="M175" s="17" t="str">
        <f t="shared" si="5"/>
        <v>8</v>
      </c>
    </row>
    <row r="176" ht="14.25" customHeight="1">
      <c r="A176" s="8">
        <v>4.0</v>
      </c>
      <c r="B176" s="8">
        <v>7.0</v>
      </c>
      <c r="C176" s="8">
        <v>0.0</v>
      </c>
      <c r="D176" s="8" t="s">
        <v>115</v>
      </c>
      <c r="E176" s="8">
        <v>2.0</v>
      </c>
      <c r="F176" s="8">
        <v>3.0</v>
      </c>
      <c r="G176" s="8">
        <v>2.0</v>
      </c>
      <c r="H176" s="8">
        <v>-1.0</v>
      </c>
      <c r="I176" s="16" t="str">
        <f t="shared" si="1"/>
        <v>4-7</v>
      </c>
      <c r="J176" s="17" t="str">
        <f t="shared" si="2"/>
        <v>36</v>
      </c>
      <c r="K176" s="17" t="str">
        <f t="shared" si="3"/>
        <v>60</v>
      </c>
      <c r="L176" s="18" t="str">
        <f t="shared" si="4"/>
        <v>128.2</v>
      </c>
      <c r="M176" s="17" t="str">
        <f t="shared" si="5"/>
        <v>5</v>
      </c>
    </row>
    <row r="177" ht="14.25" customHeight="1">
      <c r="A177" s="8">
        <v>4.0</v>
      </c>
      <c r="B177" s="8">
        <v>7.0</v>
      </c>
      <c r="C177" s="8">
        <v>0.0</v>
      </c>
      <c r="D177" s="8" t="s">
        <v>120</v>
      </c>
      <c r="E177" s="8">
        <v>2.0</v>
      </c>
      <c r="F177" s="8">
        <v>6.0</v>
      </c>
      <c r="G177" s="8">
        <v>2.0</v>
      </c>
      <c r="H177" s="8">
        <v>-1.0</v>
      </c>
      <c r="I177" s="16" t="str">
        <f t="shared" si="1"/>
        <v>4-7</v>
      </c>
      <c r="J177" s="17" t="str">
        <f t="shared" si="2"/>
        <v>30</v>
      </c>
      <c r="K177" s="17" t="str">
        <f t="shared" si="3"/>
        <v>40</v>
      </c>
      <c r="L177" s="18" t="str">
        <f t="shared" si="4"/>
        <v>120.3</v>
      </c>
      <c r="M177" s="17" t="str">
        <f t="shared" si="5"/>
        <v>8</v>
      </c>
    </row>
    <row r="178" ht="14.25" customHeight="1">
      <c r="A178" s="8">
        <v>4.0</v>
      </c>
      <c r="B178" s="8">
        <v>7.0</v>
      </c>
      <c r="C178" s="8">
        <v>0.0</v>
      </c>
      <c r="D178" s="8" t="s">
        <v>113</v>
      </c>
      <c r="E178" s="8">
        <v>2.0</v>
      </c>
      <c r="F178" s="8">
        <v>0.0</v>
      </c>
      <c r="G178" s="8">
        <v>2.0</v>
      </c>
      <c r="H178" s="8">
        <v>-1.0</v>
      </c>
      <c r="I178" s="16" t="str">
        <f t="shared" si="1"/>
        <v>4-7</v>
      </c>
      <c r="J178" s="17" t="str">
        <f t="shared" si="2"/>
        <v>20</v>
      </c>
      <c r="K178" s="17" t="str">
        <f t="shared" si="3"/>
        <v>40</v>
      </c>
      <c r="L178" s="18" t="str">
        <f t="shared" si="4"/>
        <v>73.5</v>
      </c>
      <c r="M178" s="17" t="str">
        <f t="shared" si="5"/>
        <v>2</v>
      </c>
    </row>
    <row r="179" ht="14.25" customHeight="1">
      <c r="A179" s="8">
        <v>4.0</v>
      </c>
      <c r="B179" s="8">
        <v>7.0</v>
      </c>
      <c r="C179" s="8">
        <v>0.0</v>
      </c>
      <c r="D179" s="8" t="s">
        <v>117</v>
      </c>
      <c r="E179" s="8">
        <v>2.0</v>
      </c>
      <c r="F179" s="8">
        <v>9.0</v>
      </c>
      <c r="G179" s="8">
        <v>2.0</v>
      </c>
      <c r="H179" s="8">
        <v>-1.0</v>
      </c>
      <c r="I179" s="16" t="str">
        <f t="shared" si="1"/>
        <v>4-7</v>
      </c>
      <c r="J179" s="17" t="str">
        <f t="shared" si="2"/>
        <v>60</v>
      </c>
      <c r="K179" s="17" t="str">
        <f t="shared" si="3"/>
        <v>60</v>
      </c>
      <c r="L179" s="18" t="str">
        <f t="shared" si="4"/>
        <v>291.1</v>
      </c>
      <c r="M179" s="17" t="str">
        <f t="shared" si="5"/>
        <v>11</v>
      </c>
    </row>
    <row r="180" ht="14.25" customHeight="1">
      <c r="A180" s="8">
        <v>4.0</v>
      </c>
      <c r="B180" s="8">
        <v>7.0</v>
      </c>
      <c r="C180" s="8">
        <v>0.0</v>
      </c>
      <c r="D180" s="8" t="s">
        <v>123</v>
      </c>
      <c r="E180" s="8">
        <v>3.0</v>
      </c>
      <c r="F180" s="8">
        <v>12.0</v>
      </c>
      <c r="G180" s="8">
        <v>2.0</v>
      </c>
      <c r="H180" s="8">
        <v>-1.0</v>
      </c>
      <c r="I180" s="16" t="str">
        <f t="shared" si="1"/>
        <v>4-7</v>
      </c>
      <c r="J180" s="17" t="str">
        <f t="shared" si="2"/>
        <v>42</v>
      </c>
      <c r="K180" s="17" t="str">
        <f t="shared" si="3"/>
        <v>30</v>
      </c>
      <c r="L180" s="18" t="str">
        <f t="shared" si="4"/>
        <v>67.1</v>
      </c>
      <c r="M180" s="17" t="str">
        <f t="shared" si="5"/>
        <v>14</v>
      </c>
    </row>
    <row r="181" ht="14.25" customHeight="1">
      <c r="A181" s="8">
        <v>4.0</v>
      </c>
      <c r="B181" s="8">
        <v>8.0</v>
      </c>
      <c r="C181" s="8">
        <v>100.0</v>
      </c>
      <c r="D181" s="8" t="s">
        <v>113</v>
      </c>
      <c r="E181" s="8">
        <v>8.0</v>
      </c>
      <c r="F181" s="8">
        <v>0.0</v>
      </c>
      <c r="G181" s="8">
        <v>6.0</v>
      </c>
      <c r="H181" s="8">
        <v>-1.0</v>
      </c>
      <c r="I181" s="16" t="str">
        <f t="shared" si="1"/>
        <v>4-8</v>
      </c>
      <c r="J181" s="17" t="str">
        <f t="shared" si="2"/>
        <v>80</v>
      </c>
      <c r="K181" s="17" t="str">
        <f t="shared" si="3"/>
        <v>160</v>
      </c>
      <c r="L181" s="18" t="str">
        <f t="shared" si="4"/>
        <v>294.2</v>
      </c>
      <c r="M181" s="17" t="str">
        <f t="shared" si="5"/>
        <v>6</v>
      </c>
    </row>
    <row r="182" ht="14.25" customHeight="1">
      <c r="A182" s="8">
        <v>4.0</v>
      </c>
      <c r="B182" s="8">
        <v>8.0</v>
      </c>
      <c r="C182" s="8">
        <v>100.0</v>
      </c>
      <c r="D182" s="8" t="s">
        <v>115</v>
      </c>
      <c r="E182" s="8">
        <v>4.0</v>
      </c>
      <c r="F182" s="8">
        <v>3.0</v>
      </c>
      <c r="G182" s="8">
        <v>3.0</v>
      </c>
      <c r="H182" s="8">
        <v>-1.0</v>
      </c>
      <c r="I182" s="16" t="str">
        <f t="shared" si="1"/>
        <v>4-8</v>
      </c>
      <c r="J182" s="17" t="str">
        <f t="shared" si="2"/>
        <v>72</v>
      </c>
      <c r="K182" s="17" t="str">
        <f t="shared" si="3"/>
        <v>120</v>
      </c>
      <c r="L182" s="18" t="str">
        <f t="shared" si="4"/>
        <v>256.5</v>
      </c>
      <c r="M182" s="17" t="str">
        <f t="shared" si="5"/>
        <v>6</v>
      </c>
    </row>
    <row r="183" ht="14.25" customHeight="1">
      <c r="A183" s="8">
        <v>4.0</v>
      </c>
      <c r="B183" s="8">
        <v>9.0</v>
      </c>
      <c r="C183" s="8">
        <v>200.0</v>
      </c>
      <c r="D183" s="8" t="s">
        <v>113</v>
      </c>
      <c r="E183" s="8">
        <v>8.0</v>
      </c>
      <c r="F183" s="8">
        <v>0.0</v>
      </c>
      <c r="G183" s="8">
        <v>6.0</v>
      </c>
      <c r="H183" s="8">
        <v>-1.0</v>
      </c>
      <c r="I183" s="16" t="str">
        <f t="shared" si="1"/>
        <v>4-9</v>
      </c>
      <c r="J183" s="17" t="str">
        <f t="shared" si="2"/>
        <v>80</v>
      </c>
      <c r="K183" s="17" t="str">
        <f t="shared" si="3"/>
        <v>160</v>
      </c>
      <c r="L183" s="18" t="str">
        <f t="shared" si="4"/>
        <v>294.2</v>
      </c>
      <c r="M183" s="17" t="str">
        <f t="shared" si="5"/>
        <v>6</v>
      </c>
    </row>
    <row r="184" ht="14.25" customHeight="1">
      <c r="A184" s="8">
        <v>4.0</v>
      </c>
      <c r="B184" s="8">
        <v>9.0</v>
      </c>
      <c r="C184" s="8">
        <v>200.0</v>
      </c>
      <c r="D184" s="8" t="s">
        <v>123</v>
      </c>
      <c r="E184" s="8">
        <v>4.0</v>
      </c>
      <c r="F184" s="8">
        <v>3.0</v>
      </c>
      <c r="G184" s="8">
        <v>3.0</v>
      </c>
      <c r="H184" s="8">
        <v>-1.0</v>
      </c>
      <c r="I184" s="16" t="str">
        <f t="shared" si="1"/>
        <v>4-9</v>
      </c>
      <c r="J184" s="17" t="str">
        <f t="shared" si="2"/>
        <v>56</v>
      </c>
      <c r="K184" s="17" t="str">
        <f t="shared" si="3"/>
        <v>40</v>
      </c>
      <c r="L184" s="18" t="str">
        <f t="shared" si="4"/>
        <v>89.4</v>
      </c>
      <c r="M184" s="17" t="str">
        <f t="shared" si="5"/>
        <v>6</v>
      </c>
    </row>
    <row r="185" ht="14.25" customHeight="1">
      <c r="A185" s="8">
        <v>4.0</v>
      </c>
      <c r="B185" s="8">
        <v>10.0</v>
      </c>
      <c r="C185" s="8">
        <v>100.0</v>
      </c>
      <c r="D185" s="8" t="s">
        <v>120</v>
      </c>
      <c r="E185" s="8">
        <v>3.0</v>
      </c>
      <c r="F185" s="8">
        <v>6.0</v>
      </c>
      <c r="G185" s="8">
        <v>2.0</v>
      </c>
      <c r="H185" s="8">
        <v>-1.0</v>
      </c>
      <c r="I185" s="16" t="str">
        <f t="shared" si="1"/>
        <v>4-10</v>
      </c>
      <c r="J185" s="17" t="str">
        <f t="shared" si="2"/>
        <v>45</v>
      </c>
      <c r="K185" s="17" t="str">
        <f t="shared" si="3"/>
        <v>60</v>
      </c>
      <c r="L185" s="18" t="str">
        <f t="shared" si="4"/>
        <v>180.4</v>
      </c>
      <c r="M185" s="17" t="str">
        <f t="shared" si="5"/>
        <v>8</v>
      </c>
    </row>
    <row r="186" ht="14.25" customHeight="1">
      <c r="A186" s="8">
        <v>4.0</v>
      </c>
      <c r="B186" s="8">
        <v>10.0</v>
      </c>
      <c r="C186" s="8">
        <v>100.0</v>
      </c>
      <c r="D186" s="8" t="s">
        <v>123</v>
      </c>
      <c r="E186" s="8">
        <v>1.0</v>
      </c>
      <c r="F186" s="8">
        <v>12.0</v>
      </c>
      <c r="G186" s="8">
        <v>2.0</v>
      </c>
      <c r="H186" s="8">
        <v>-1.0</v>
      </c>
      <c r="I186" s="16" t="str">
        <f t="shared" si="1"/>
        <v>4-10</v>
      </c>
      <c r="J186" s="17" t="str">
        <f t="shared" si="2"/>
        <v>14</v>
      </c>
      <c r="K186" s="17" t="str">
        <f t="shared" si="3"/>
        <v>10</v>
      </c>
      <c r="L186" s="18" t="str">
        <f t="shared" si="4"/>
        <v>22.4</v>
      </c>
      <c r="M186" s="17" t="str">
        <f t="shared" si="5"/>
        <v>14</v>
      </c>
    </row>
    <row r="187" ht="14.25" customHeight="1">
      <c r="A187" s="8">
        <v>4.0</v>
      </c>
      <c r="B187" s="8">
        <v>10.0</v>
      </c>
      <c r="C187" s="8">
        <v>100.0</v>
      </c>
      <c r="D187" s="8" t="s">
        <v>113</v>
      </c>
      <c r="E187" s="8">
        <v>3.0</v>
      </c>
      <c r="F187" s="8">
        <v>0.0</v>
      </c>
      <c r="G187" s="8">
        <v>2.0</v>
      </c>
      <c r="H187" s="8">
        <v>-1.0</v>
      </c>
      <c r="I187" s="16" t="str">
        <f t="shared" si="1"/>
        <v>4-10</v>
      </c>
      <c r="J187" s="17" t="str">
        <f t="shared" si="2"/>
        <v>30</v>
      </c>
      <c r="K187" s="17" t="str">
        <f t="shared" si="3"/>
        <v>60</v>
      </c>
      <c r="L187" s="18" t="str">
        <f t="shared" si="4"/>
        <v>110.3</v>
      </c>
      <c r="M187" s="17" t="str">
        <f t="shared" si="5"/>
        <v>2</v>
      </c>
    </row>
    <row r="188" ht="14.25" customHeight="1">
      <c r="A188" s="8">
        <v>4.0</v>
      </c>
      <c r="B188" s="8">
        <v>10.0</v>
      </c>
      <c r="C188" s="8">
        <v>100.0</v>
      </c>
      <c r="D188" s="8" t="s">
        <v>115</v>
      </c>
      <c r="E188" s="8">
        <v>3.0</v>
      </c>
      <c r="F188" s="8">
        <v>3.0</v>
      </c>
      <c r="G188" s="8">
        <v>2.0</v>
      </c>
      <c r="H188" s="8">
        <v>-1.0</v>
      </c>
      <c r="I188" s="16" t="str">
        <f t="shared" si="1"/>
        <v>4-10</v>
      </c>
      <c r="J188" s="17" t="str">
        <f t="shared" si="2"/>
        <v>54</v>
      </c>
      <c r="K188" s="17" t="str">
        <f t="shared" si="3"/>
        <v>90</v>
      </c>
      <c r="L188" s="18" t="str">
        <f t="shared" si="4"/>
        <v>192.4</v>
      </c>
      <c r="M188" s="17" t="str">
        <f t="shared" si="5"/>
        <v>5</v>
      </c>
    </row>
    <row r="189" ht="14.25" customHeight="1">
      <c r="A189" s="8">
        <v>4.0</v>
      </c>
      <c r="B189" s="8">
        <v>10.0</v>
      </c>
      <c r="C189" s="8">
        <v>100.0</v>
      </c>
      <c r="D189" s="8" t="s">
        <v>117</v>
      </c>
      <c r="E189" s="8">
        <v>3.0</v>
      </c>
      <c r="F189" s="8">
        <v>9.0</v>
      </c>
      <c r="G189" s="8">
        <v>2.0</v>
      </c>
      <c r="H189" s="8">
        <v>-1.0</v>
      </c>
      <c r="I189" s="16" t="str">
        <f t="shared" si="1"/>
        <v>4-10</v>
      </c>
      <c r="J189" s="17" t="str">
        <f t="shared" si="2"/>
        <v>90</v>
      </c>
      <c r="K189" s="17" t="str">
        <f t="shared" si="3"/>
        <v>90</v>
      </c>
      <c r="L189" s="18" t="str">
        <f t="shared" si="4"/>
        <v>436.7</v>
      </c>
      <c r="M189" s="17" t="str">
        <f t="shared" si="5"/>
        <v>11</v>
      </c>
    </row>
    <row r="190" ht="14.25" customHeight="1">
      <c r="A190" s="8">
        <v>5.0</v>
      </c>
      <c r="B190" s="8">
        <v>1.0</v>
      </c>
      <c r="C190" s="8">
        <v>0.0</v>
      </c>
      <c r="D190" s="8" t="s">
        <v>113</v>
      </c>
      <c r="E190" s="8">
        <v>6.0</v>
      </c>
      <c r="F190" s="8">
        <v>0.0</v>
      </c>
      <c r="G190" s="8">
        <v>5.0</v>
      </c>
      <c r="H190" s="8">
        <v>0.0</v>
      </c>
      <c r="I190" s="16" t="str">
        <f t="shared" si="1"/>
        <v>5-1</v>
      </c>
      <c r="J190" s="17" t="str">
        <f t="shared" si="2"/>
        <v>60</v>
      </c>
      <c r="K190" s="17" t="str">
        <f t="shared" si="3"/>
        <v>120</v>
      </c>
      <c r="L190" s="18" t="str">
        <f t="shared" si="4"/>
        <v>220.6</v>
      </c>
      <c r="M190" s="17" t="str">
        <f t="shared" si="5"/>
        <v>5</v>
      </c>
    </row>
    <row r="191" ht="14.25" customHeight="1">
      <c r="A191" s="8">
        <v>5.0</v>
      </c>
      <c r="B191" s="8">
        <v>2.0</v>
      </c>
      <c r="C191" s="8">
        <v>0.0</v>
      </c>
      <c r="D191" s="8" t="s">
        <v>115</v>
      </c>
      <c r="E191" s="8">
        <v>1.0</v>
      </c>
      <c r="F191" s="8">
        <v>0.0</v>
      </c>
      <c r="G191" s="8">
        <v>0.0</v>
      </c>
      <c r="H191" s="8">
        <v>-1.0</v>
      </c>
      <c r="I191" s="16" t="str">
        <f t="shared" si="1"/>
        <v>5-2</v>
      </c>
      <c r="J191" s="17" t="str">
        <f t="shared" si="2"/>
        <v>18</v>
      </c>
      <c r="K191" s="17" t="str">
        <f t="shared" si="3"/>
        <v>30</v>
      </c>
      <c r="L191" s="18" t="str">
        <f t="shared" si="4"/>
        <v>64.1</v>
      </c>
      <c r="M191" s="17" t="str">
        <f t="shared" si="5"/>
        <v>0</v>
      </c>
    </row>
    <row r="192" ht="14.25" customHeight="1">
      <c r="A192" s="8">
        <v>5.0</v>
      </c>
      <c r="B192" s="8">
        <v>2.0</v>
      </c>
      <c r="C192" s="8">
        <v>0.0</v>
      </c>
      <c r="D192" s="8" t="s">
        <v>113</v>
      </c>
      <c r="E192" s="8">
        <v>9.0</v>
      </c>
      <c r="F192" s="8">
        <v>0.0</v>
      </c>
      <c r="G192" s="8">
        <v>7.0</v>
      </c>
      <c r="H192" s="8">
        <v>0.0</v>
      </c>
      <c r="I192" s="16" t="str">
        <f t="shared" si="1"/>
        <v>5-2</v>
      </c>
      <c r="J192" s="17" t="str">
        <f t="shared" si="2"/>
        <v>90</v>
      </c>
      <c r="K192" s="17" t="str">
        <f t="shared" si="3"/>
        <v>180</v>
      </c>
      <c r="L192" s="18" t="str">
        <f t="shared" si="4"/>
        <v>331.0</v>
      </c>
      <c r="M192" s="17" t="str">
        <f t="shared" si="5"/>
        <v>7</v>
      </c>
    </row>
    <row r="193" ht="14.25" customHeight="1">
      <c r="A193" s="8">
        <v>5.0</v>
      </c>
      <c r="B193" s="8">
        <v>3.0</v>
      </c>
      <c r="C193" s="8">
        <v>100.0</v>
      </c>
      <c r="D193" s="8" t="s">
        <v>123</v>
      </c>
      <c r="E193" s="8">
        <v>3.0</v>
      </c>
      <c r="F193" s="8">
        <v>3.0</v>
      </c>
      <c r="G193" s="8">
        <v>2.0</v>
      </c>
      <c r="H193" s="8">
        <v>-1.0</v>
      </c>
      <c r="I193" s="16" t="str">
        <f t="shared" si="1"/>
        <v>5-3</v>
      </c>
      <c r="J193" s="17" t="str">
        <f t="shared" si="2"/>
        <v>42</v>
      </c>
      <c r="K193" s="17" t="str">
        <f t="shared" si="3"/>
        <v>30</v>
      </c>
      <c r="L193" s="18" t="str">
        <f t="shared" si="4"/>
        <v>67.1</v>
      </c>
      <c r="M193" s="17" t="str">
        <f t="shared" si="5"/>
        <v>5</v>
      </c>
    </row>
    <row r="194" ht="14.25" customHeight="1">
      <c r="A194" s="8">
        <v>5.0</v>
      </c>
      <c r="B194" s="8">
        <v>3.0</v>
      </c>
      <c r="C194" s="8">
        <v>100.0</v>
      </c>
      <c r="D194" s="8" t="s">
        <v>113</v>
      </c>
      <c r="E194" s="8">
        <v>4.0</v>
      </c>
      <c r="F194" s="8">
        <v>0.0</v>
      </c>
      <c r="G194" s="8">
        <v>3.0</v>
      </c>
      <c r="H194" s="8">
        <v>0.0</v>
      </c>
      <c r="I194" s="16" t="str">
        <f t="shared" si="1"/>
        <v>5-3</v>
      </c>
      <c r="J194" s="17" t="str">
        <f t="shared" si="2"/>
        <v>40</v>
      </c>
      <c r="K194" s="17" t="str">
        <f t="shared" si="3"/>
        <v>80</v>
      </c>
      <c r="L194" s="18" t="str">
        <f t="shared" si="4"/>
        <v>147.1</v>
      </c>
      <c r="M194" s="17" t="str">
        <f t="shared" si="5"/>
        <v>3</v>
      </c>
    </row>
    <row r="195" ht="14.25" customHeight="1">
      <c r="A195" s="8">
        <v>5.0</v>
      </c>
      <c r="B195" s="8">
        <v>3.0</v>
      </c>
      <c r="C195" s="8">
        <v>100.0</v>
      </c>
      <c r="D195" s="8" t="s">
        <v>115</v>
      </c>
      <c r="E195" s="8">
        <v>3.0</v>
      </c>
      <c r="F195" s="8">
        <v>3.0</v>
      </c>
      <c r="G195" s="8">
        <v>2.0</v>
      </c>
      <c r="H195" s="8">
        <v>1.0</v>
      </c>
      <c r="I195" s="16" t="str">
        <f t="shared" si="1"/>
        <v>5-3</v>
      </c>
      <c r="J195" s="17" t="str">
        <f t="shared" si="2"/>
        <v>54</v>
      </c>
      <c r="K195" s="17" t="str">
        <f t="shared" si="3"/>
        <v>90</v>
      </c>
      <c r="L195" s="18" t="str">
        <f t="shared" si="4"/>
        <v>192.4</v>
      </c>
      <c r="M195" s="17" t="str">
        <f t="shared" si="5"/>
        <v>5</v>
      </c>
    </row>
    <row r="196" ht="14.25" customHeight="1">
      <c r="A196" s="8">
        <v>5.0</v>
      </c>
      <c r="B196" s="8">
        <v>4.0</v>
      </c>
      <c r="C196" s="8">
        <v>100.0</v>
      </c>
      <c r="D196" s="8" t="s">
        <v>113</v>
      </c>
      <c r="E196" s="8">
        <v>7.0</v>
      </c>
      <c r="F196" s="8">
        <v>0.0</v>
      </c>
      <c r="G196" s="8">
        <v>6.0</v>
      </c>
      <c r="H196" s="8">
        <v>0.0</v>
      </c>
      <c r="I196" s="16" t="str">
        <f t="shared" si="1"/>
        <v>5-4</v>
      </c>
      <c r="J196" s="17" t="str">
        <f t="shared" si="2"/>
        <v>70</v>
      </c>
      <c r="K196" s="17" t="str">
        <f t="shared" si="3"/>
        <v>140</v>
      </c>
      <c r="L196" s="18" t="str">
        <f t="shared" si="4"/>
        <v>257.4</v>
      </c>
      <c r="M196" s="17" t="str">
        <f t="shared" si="5"/>
        <v>6</v>
      </c>
    </row>
    <row r="197" ht="14.25" customHeight="1">
      <c r="A197" s="8">
        <v>5.0</v>
      </c>
      <c r="B197" s="8">
        <v>4.0</v>
      </c>
      <c r="C197" s="8">
        <v>100.0</v>
      </c>
      <c r="D197" s="8" t="s">
        <v>115</v>
      </c>
      <c r="E197" s="8">
        <v>3.0</v>
      </c>
      <c r="F197" s="8">
        <v>3.0</v>
      </c>
      <c r="G197" s="8">
        <v>2.0</v>
      </c>
      <c r="H197" s="8">
        <v>1.0</v>
      </c>
      <c r="I197" s="16" t="str">
        <f t="shared" si="1"/>
        <v>5-4</v>
      </c>
      <c r="J197" s="17" t="str">
        <f t="shared" si="2"/>
        <v>54</v>
      </c>
      <c r="K197" s="17" t="str">
        <f t="shared" si="3"/>
        <v>90</v>
      </c>
      <c r="L197" s="18" t="str">
        <f t="shared" si="4"/>
        <v>192.4</v>
      </c>
      <c r="M197" s="17" t="str">
        <f t="shared" si="5"/>
        <v>5</v>
      </c>
    </row>
    <row r="198" ht="14.25" customHeight="1">
      <c r="A198" s="8">
        <v>5.0</v>
      </c>
      <c r="B198" s="8">
        <v>5.0</v>
      </c>
      <c r="C198" s="8">
        <v>100.0</v>
      </c>
      <c r="D198" s="8" t="s">
        <v>113</v>
      </c>
      <c r="E198" s="8">
        <v>6.0</v>
      </c>
      <c r="F198" s="8">
        <v>0.0</v>
      </c>
      <c r="G198" s="8">
        <v>5.0</v>
      </c>
      <c r="H198" s="8">
        <v>0.0</v>
      </c>
      <c r="I198" s="16" t="str">
        <f t="shared" si="1"/>
        <v>5-5</v>
      </c>
      <c r="J198" s="17" t="str">
        <f t="shared" si="2"/>
        <v>60</v>
      </c>
      <c r="K198" s="17" t="str">
        <f t="shared" si="3"/>
        <v>120</v>
      </c>
      <c r="L198" s="18" t="str">
        <f t="shared" si="4"/>
        <v>220.6</v>
      </c>
      <c r="M198" s="17" t="str">
        <f t="shared" si="5"/>
        <v>5</v>
      </c>
    </row>
    <row r="199" ht="14.25" customHeight="1">
      <c r="A199" s="8">
        <v>5.0</v>
      </c>
      <c r="B199" s="8">
        <v>5.0</v>
      </c>
      <c r="C199" s="8">
        <v>100.0</v>
      </c>
      <c r="D199" s="8" t="s">
        <v>123</v>
      </c>
      <c r="E199" s="8">
        <v>2.0</v>
      </c>
      <c r="F199" s="8">
        <v>3.0</v>
      </c>
      <c r="G199" s="8">
        <v>2.0</v>
      </c>
      <c r="H199" s="8">
        <v>0.0</v>
      </c>
      <c r="I199" s="16" t="str">
        <f t="shared" si="1"/>
        <v>5-5</v>
      </c>
      <c r="J199" s="17" t="str">
        <f t="shared" si="2"/>
        <v>28</v>
      </c>
      <c r="K199" s="17" t="str">
        <f t="shared" si="3"/>
        <v>20</v>
      </c>
      <c r="L199" s="18" t="str">
        <f t="shared" si="4"/>
        <v>44.7</v>
      </c>
      <c r="M199" s="17" t="str">
        <f t="shared" si="5"/>
        <v>5</v>
      </c>
    </row>
    <row r="200" ht="14.25" customHeight="1">
      <c r="A200" s="8">
        <v>5.0</v>
      </c>
      <c r="B200" s="8">
        <v>6.0</v>
      </c>
      <c r="C200" s="8">
        <v>100.0</v>
      </c>
      <c r="D200" s="8" t="s">
        <v>113</v>
      </c>
      <c r="E200" s="8">
        <v>6.0</v>
      </c>
      <c r="F200" s="8">
        <v>0.0</v>
      </c>
      <c r="G200" s="8">
        <v>5.0</v>
      </c>
      <c r="H200" s="8">
        <v>0.0</v>
      </c>
      <c r="I200" s="16" t="str">
        <f t="shared" si="1"/>
        <v>5-6</v>
      </c>
      <c r="J200" s="17" t="str">
        <f t="shared" si="2"/>
        <v>60</v>
      </c>
      <c r="K200" s="17" t="str">
        <f t="shared" si="3"/>
        <v>120</v>
      </c>
      <c r="L200" s="18" t="str">
        <f t="shared" si="4"/>
        <v>220.6</v>
      </c>
      <c r="M200" s="17" t="str">
        <f t="shared" si="5"/>
        <v>5</v>
      </c>
    </row>
    <row r="201" ht="14.25" customHeight="1">
      <c r="A201" s="8">
        <v>5.0</v>
      </c>
      <c r="B201" s="8">
        <v>6.0</v>
      </c>
      <c r="C201" s="8">
        <v>100.0</v>
      </c>
      <c r="D201" s="8" t="s">
        <v>115</v>
      </c>
      <c r="E201" s="8">
        <v>3.0</v>
      </c>
      <c r="F201" s="8">
        <v>3.0</v>
      </c>
      <c r="G201" s="8">
        <v>2.0</v>
      </c>
      <c r="H201" s="8">
        <v>1.0</v>
      </c>
      <c r="I201" s="16" t="str">
        <f t="shared" si="1"/>
        <v>5-6</v>
      </c>
      <c r="J201" s="17" t="str">
        <f t="shared" si="2"/>
        <v>54</v>
      </c>
      <c r="K201" s="17" t="str">
        <f t="shared" si="3"/>
        <v>90</v>
      </c>
      <c r="L201" s="18" t="str">
        <f t="shared" si="4"/>
        <v>192.4</v>
      </c>
      <c r="M201" s="17" t="str">
        <f t="shared" si="5"/>
        <v>5</v>
      </c>
    </row>
    <row r="202" ht="14.25" customHeight="1">
      <c r="A202" s="8">
        <v>5.0</v>
      </c>
      <c r="B202" s="8">
        <v>6.0</v>
      </c>
      <c r="C202" s="8">
        <v>100.0</v>
      </c>
      <c r="D202" s="8" t="s">
        <v>123</v>
      </c>
      <c r="E202" s="8">
        <v>2.0</v>
      </c>
      <c r="F202" s="8">
        <v>0.0</v>
      </c>
      <c r="G202" s="8">
        <v>2.0</v>
      </c>
      <c r="H202" s="8">
        <v>0.0</v>
      </c>
      <c r="I202" s="16" t="str">
        <f t="shared" si="1"/>
        <v>5-6</v>
      </c>
      <c r="J202" s="17" t="str">
        <f t="shared" si="2"/>
        <v>28</v>
      </c>
      <c r="K202" s="17" t="str">
        <f t="shared" si="3"/>
        <v>20</v>
      </c>
      <c r="L202" s="18" t="str">
        <f t="shared" si="4"/>
        <v>44.7</v>
      </c>
      <c r="M202" s="17" t="str">
        <f t="shared" si="5"/>
        <v>2</v>
      </c>
    </row>
    <row r="203" ht="14.25" customHeight="1">
      <c r="A203" s="8">
        <v>5.0</v>
      </c>
      <c r="B203" s="8">
        <v>7.0</v>
      </c>
      <c r="C203" s="8">
        <v>200.0</v>
      </c>
      <c r="D203" s="8" t="s">
        <v>115</v>
      </c>
      <c r="E203" s="8">
        <v>2.0</v>
      </c>
      <c r="F203" s="8">
        <v>0.0</v>
      </c>
      <c r="G203" s="8">
        <v>2.0</v>
      </c>
      <c r="H203" s="8">
        <v>1.0</v>
      </c>
      <c r="I203" s="16" t="str">
        <f t="shared" si="1"/>
        <v>5-7</v>
      </c>
      <c r="J203" s="17" t="str">
        <f t="shared" si="2"/>
        <v>36</v>
      </c>
      <c r="K203" s="17" t="str">
        <f t="shared" si="3"/>
        <v>60</v>
      </c>
      <c r="L203" s="18" t="str">
        <f t="shared" si="4"/>
        <v>128.2</v>
      </c>
      <c r="M203" s="17" t="str">
        <f t="shared" si="5"/>
        <v>2</v>
      </c>
    </row>
    <row r="204" ht="14.25" customHeight="1">
      <c r="A204" s="8">
        <v>5.0</v>
      </c>
      <c r="B204" s="8">
        <v>7.0</v>
      </c>
      <c r="C204" s="8">
        <v>200.0</v>
      </c>
      <c r="D204" s="8" t="s">
        <v>113</v>
      </c>
      <c r="E204" s="8">
        <v>2.0</v>
      </c>
      <c r="F204" s="8">
        <v>3.0</v>
      </c>
      <c r="G204" s="8">
        <v>2.0</v>
      </c>
      <c r="H204" s="8">
        <v>0.0</v>
      </c>
      <c r="I204" s="16" t="str">
        <f t="shared" si="1"/>
        <v>5-7</v>
      </c>
      <c r="J204" s="17" t="str">
        <f t="shared" si="2"/>
        <v>20</v>
      </c>
      <c r="K204" s="17" t="str">
        <f t="shared" si="3"/>
        <v>40</v>
      </c>
      <c r="L204" s="18" t="str">
        <f t="shared" si="4"/>
        <v>73.5</v>
      </c>
      <c r="M204" s="17" t="str">
        <f t="shared" si="5"/>
        <v>5</v>
      </c>
    </row>
    <row r="205" ht="14.25" customHeight="1">
      <c r="A205" s="8">
        <v>5.0</v>
      </c>
      <c r="B205" s="8">
        <v>7.0</v>
      </c>
      <c r="C205" s="8">
        <v>200.0</v>
      </c>
      <c r="D205" s="8" t="s">
        <v>120</v>
      </c>
      <c r="E205" s="8">
        <v>2.0</v>
      </c>
      <c r="F205" s="8">
        <v>0.0</v>
      </c>
      <c r="G205" s="8">
        <v>2.0</v>
      </c>
      <c r="H205" s="8">
        <v>1.0</v>
      </c>
      <c r="I205" s="16" t="str">
        <f t="shared" si="1"/>
        <v>5-7</v>
      </c>
      <c r="J205" s="17" t="str">
        <f t="shared" si="2"/>
        <v>30</v>
      </c>
      <c r="K205" s="17" t="str">
        <f t="shared" si="3"/>
        <v>40</v>
      </c>
      <c r="L205" s="18" t="str">
        <f t="shared" si="4"/>
        <v>120.3</v>
      </c>
      <c r="M205" s="17" t="str">
        <f t="shared" si="5"/>
        <v>2</v>
      </c>
    </row>
    <row r="206" ht="14.25" customHeight="1">
      <c r="A206" s="8">
        <v>5.0</v>
      </c>
      <c r="B206" s="8">
        <v>7.0</v>
      </c>
      <c r="C206" s="8">
        <v>200.0</v>
      </c>
      <c r="D206" s="8" t="s">
        <v>123</v>
      </c>
      <c r="E206" s="8">
        <v>1.0</v>
      </c>
      <c r="F206" s="8">
        <v>0.0</v>
      </c>
      <c r="G206" s="8">
        <v>2.0</v>
      </c>
      <c r="H206" s="8">
        <v>0.0</v>
      </c>
      <c r="I206" s="16" t="str">
        <f t="shared" si="1"/>
        <v>5-7</v>
      </c>
      <c r="J206" s="17" t="str">
        <f t="shared" si="2"/>
        <v>14</v>
      </c>
      <c r="K206" s="17" t="str">
        <f t="shared" si="3"/>
        <v>10</v>
      </c>
      <c r="L206" s="18" t="str">
        <f t="shared" si="4"/>
        <v>22.4</v>
      </c>
      <c r="M206" s="17" t="str">
        <f t="shared" si="5"/>
        <v>2</v>
      </c>
    </row>
    <row r="207" ht="14.25" customHeight="1">
      <c r="A207" s="8">
        <v>5.0</v>
      </c>
      <c r="B207" s="8">
        <v>8.0</v>
      </c>
      <c r="C207" s="8">
        <v>100.0</v>
      </c>
      <c r="D207" s="8" t="s">
        <v>113</v>
      </c>
      <c r="E207" s="8">
        <v>8.0</v>
      </c>
      <c r="F207" s="8">
        <v>0.0</v>
      </c>
      <c r="G207" s="8">
        <v>4.0</v>
      </c>
      <c r="H207" s="8">
        <v>0.0</v>
      </c>
      <c r="I207" s="16" t="str">
        <f t="shared" si="1"/>
        <v>5-8</v>
      </c>
      <c r="J207" s="17" t="str">
        <f t="shared" si="2"/>
        <v>80</v>
      </c>
      <c r="K207" s="17" t="str">
        <f t="shared" si="3"/>
        <v>160</v>
      </c>
      <c r="L207" s="18" t="str">
        <f t="shared" si="4"/>
        <v>294.2</v>
      </c>
      <c r="M207" s="17" t="str">
        <f t="shared" si="5"/>
        <v>4</v>
      </c>
    </row>
    <row r="208" ht="14.25" customHeight="1">
      <c r="A208" s="8">
        <v>5.0</v>
      </c>
      <c r="B208" s="8">
        <v>8.0</v>
      </c>
      <c r="C208" s="8">
        <v>100.0</v>
      </c>
      <c r="D208" s="8" t="s">
        <v>115</v>
      </c>
      <c r="E208" s="8">
        <v>4.0</v>
      </c>
      <c r="F208" s="8">
        <v>3.0</v>
      </c>
      <c r="G208" s="8">
        <v>3.0</v>
      </c>
      <c r="H208" s="8">
        <v>1.0</v>
      </c>
      <c r="I208" s="16" t="str">
        <f t="shared" si="1"/>
        <v>5-8</v>
      </c>
      <c r="J208" s="17" t="str">
        <f t="shared" si="2"/>
        <v>72</v>
      </c>
      <c r="K208" s="17" t="str">
        <f t="shared" si="3"/>
        <v>120</v>
      </c>
      <c r="L208" s="18" t="str">
        <f t="shared" si="4"/>
        <v>256.5</v>
      </c>
      <c r="M208" s="17" t="str">
        <f t="shared" si="5"/>
        <v>6</v>
      </c>
    </row>
    <row r="209" ht="14.25" customHeight="1">
      <c r="A209" s="8">
        <v>5.0</v>
      </c>
      <c r="B209" s="8">
        <v>9.0</v>
      </c>
      <c r="C209" s="8">
        <v>100.0</v>
      </c>
      <c r="D209" s="8" t="s">
        <v>123</v>
      </c>
      <c r="E209" s="8">
        <v>3.0</v>
      </c>
      <c r="F209" s="8">
        <v>3.0</v>
      </c>
      <c r="G209" s="8">
        <v>2.0</v>
      </c>
      <c r="H209" s="8">
        <v>0.0</v>
      </c>
      <c r="I209" s="16" t="str">
        <f t="shared" si="1"/>
        <v>5-9</v>
      </c>
      <c r="J209" s="17" t="str">
        <f t="shared" si="2"/>
        <v>42</v>
      </c>
      <c r="K209" s="17" t="str">
        <f t="shared" si="3"/>
        <v>30</v>
      </c>
      <c r="L209" s="18" t="str">
        <f t="shared" si="4"/>
        <v>67.1</v>
      </c>
      <c r="M209" s="17" t="str">
        <f t="shared" si="5"/>
        <v>5</v>
      </c>
    </row>
    <row r="210" ht="14.25" customHeight="1">
      <c r="A210" s="8">
        <v>5.0</v>
      </c>
      <c r="B210" s="8">
        <v>9.0</v>
      </c>
      <c r="C210" s="8">
        <v>100.0</v>
      </c>
      <c r="D210" s="8" t="s">
        <v>113</v>
      </c>
      <c r="E210" s="8">
        <v>7.0</v>
      </c>
      <c r="F210" s="8">
        <v>0.0</v>
      </c>
      <c r="G210" s="8">
        <v>6.0</v>
      </c>
      <c r="H210" s="8">
        <v>0.0</v>
      </c>
      <c r="I210" s="16" t="str">
        <f t="shared" si="1"/>
        <v>5-9</v>
      </c>
      <c r="J210" s="17" t="str">
        <f t="shared" si="2"/>
        <v>70</v>
      </c>
      <c r="K210" s="17" t="str">
        <f t="shared" si="3"/>
        <v>140</v>
      </c>
      <c r="L210" s="18" t="str">
        <f t="shared" si="4"/>
        <v>257.4</v>
      </c>
      <c r="M210" s="17" t="str">
        <f t="shared" si="5"/>
        <v>6</v>
      </c>
    </row>
    <row r="211" ht="14.25" customHeight="1">
      <c r="A211" s="8">
        <v>5.0</v>
      </c>
      <c r="B211" s="8">
        <v>10.0</v>
      </c>
      <c r="C211" s="8">
        <v>100.0</v>
      </c>
      <c r="D211" s="8" t="s">
        <v>125</v>
      </c>
      <c r="E211" s="8">
        <v>1.0</v>
      </c>
      <c r="F211" s="8">
        <v>2.0</v>
      </c>
      <c r="G211" s="8">
        <v>0.0</v>
      </c>
      <c r="H211" s="8">
        <v>1.0</v>
      </c>
      <c r="I211" s="16" t="str">
        <f t="shared" si="1"/>
        <v>5-10</v>
      </c>
      <c r="J211" s="17" t="str">
        <f t="shared" si="2"/>
        <v>60</v>
      </c>
      <c r="K211" s="17" t="str">
        <f t="shared" si="3"/>
        <v>160</v>
      </c>
      <c r="L211" s="18" t="str">
        <f t="shared" si="4"/>
        <v>348.6</v>
      </c>
      <c r="M211" s="17" t="str">
        <f t="shared" si="5"/>
        <v>2</v>
      </c>
    </row>
    <row r="212" ht="14.25" customHeight="1">
      <c r="A212" s="8">
        <v>5.0</v>
      </c>
      <c r="B212" s="8">
        <v>10.0</v>
      </c>
      <c r="C212" s="8">
        <v>100.0</v>
      </c>
      <c r="D212" s="8" t="s">
        <v>113</v>
      </c>
      <c r="E212" s="8">
        <v>3.0</v>
      </c>
      <c r="F212" s="8">
        <v>0.0</v>
      </c>
      <c r="G212" s="8">
        <v>2.0</v>
      </c>
      <c r="H212" s="8">
        <v>0.0</v>
      </c>
      <c r="I212" s="16" t="str">
        <f t="shared" si="1"/>
        <v>5-10</v>
      </c>
      <c r="J212" s="17" t="str">
        <f t="shared" si="2"/>
        <v>30</v>
      </c>
      <c r="K212" s="17" t="str">
        <f t="shared" si="3"/>
        <v>60</v>
      </c>
      <c r="L212" s="18" t="str">
        <f t="shared" si="4"/>
        <v>110.3</v>
      </c>
      <c r="M212" s="17" t="str">
        <f t="shared" si="5"/>
        <v>2</v>
      </c>
    </row>
    <row r="213" ht="14.25" customHeight="1">
      <c r="A213" s="8">
        <v>5.0</v>
      </c>
      <c r="B213" s="8">
        <v>10.0</v>
      </c>
      <c r="C213" s="8">
        <v>100.0</v>
      </c>
      <c r="D213" s="8" t="s">
        <v>115</v>
      </c>
      <c r="E213" s="8">
        <v>3.0</v>
      </c>
      <c r="F213" s="8">
        <v>3.0</v>
      </c>
      <c r="G213" s="8">
        <v>2.0</v>
      </c>
      <c r="H213" s="8">
        <v>1.0</v>
      </c>
      <c r="I213" s="16" t="str">
        <f t="shared" si="1"/>
        <v>5-10</v>
      </c>
      <c r="J213" s="17" t="str">
        <f t="shared" si="2"/>
        <v>54</v>
      </c>
      <c r="K213" s="17" t="str">
        <f t="shared" si="3"/>
        <v>90</v>
      </c>
      <c r="L213" s="18" t="str">
        <f t="shared" si="4"/>
        <v>192.4</v>
      </c>
      <c r="M213" s="17" t="str">
        <f t="shared" si="5"/>
        <v>5</v>
      </c>
    </row>
    <row r="214" ht="14.25" customHeight="1">
      <c r="A214" s="8">
        <v>5.0</v>
      </c>
      <c r="B214" s="8">
        <v>10.0</v>
      </c>
      <c r="C214" s="8">
        <v>100.0</v>
      </c>
      <c r="D214" s="8" t="s">
        <v>120</v>
      </c>
      <c r="E214" s="8">
        <v>3.0</v>
      </c>
      <c r="F214" s="8">
        <v>0.0</v>
      </c>
      <c r="G214" s="8">
        <v>2.0</v>
      </c>
      <c r="H214" s="8">
        <v>1.0</v>
      </c>
      <c r="I214" s="16" t="str">
        <f t="shared" si="1"/>
        <v>5-10</v>
      </c>
      <c r="J214" s="17" t="str">
        <f t="shared" si="2"/>
        <v>45</v>
      </c>
      <c r="K214" s="17" t="str">
        <f t="shared" si="3"/>
        <v>60</v>
      </c>
      <c r="L214" s="18" t="str">
        <f t="shared" si="4"/>
        <v>180.4</v>
      </c>
      <c r="M214" s="17" t="str">
        <f t="shared" si="5"/>
        <v>2</v>
      </c>
    </row>
    <row r="215" ht="14.25" customHeight="1">
      <c r="A215" s="8">
        <v>5.0</v>
      </c>
      <c r="B215" s="8">
        <v>10.0</v>
      </c>
      <c r="C215" s="8">
        <v>100.0</v>
      </c>
      <c r="D215" s="8" t="s">
        <v>117</v>
      </c>
      <c r="E215" s="8">
        <v>3.0</v>
      </c>
      <c r="F215" s="8">
        <v>3.0</v>
      </c>
      <c r="G215" s="8">
        <v>2.0</v>
      </c>
      <c r="H215" s="8">
        <v>0.0</v>
      </c>
      <c r="I215" s="16" t="str">
        <f t="shared" si="1"/>
        <v>5-10</v>
      </c>
      <c r="J215" s="17" t="str">
        <f t="shared" si="2"/>
        <v>90</v>
      </c>
      <c r="K215" s="17" t="str">
        <f t="shared" si="3"/>
        <v>90</v>
      </c>
      <c r="L215" s="18" t="str">
        <f t="shared" si="4"/>
        <v>436.7</v>
      </c>
      <c r="M215" s="17" t="str">
        <f t="shared" si="5"/>
        <v>5</v>
      </c>
    </row>
    <row r="216" ht="14.25" customHeight="1">
      <c r="A216" s="8">
        <v>5.0</v>
      </c>
      <c r="B216" s="8">
        <v>10.0</v>
      </c>
      <c r="C216" s="8">
        <v>100.0</v>
      </c>
      <c r="D216" s="8" t="s">
        <v>123</v>
      </c>
      <c r="E216" s="8">
        <v>2.0</v>
      </c>
      <c r="F216" s="8">
        <v>0.0</v>
      </c>
      <c r="G216" s="8">
        <v>2.0</v>
      </c>
      <c r="H216" s="8">
        <v>0.0</v>
      </c>
      <c r="I216" s="16" t="str">
        <f t="shared" si="1"/>
        <v>5-10</v>
      </c>
      <c r="J216" s="17" t="str">
        <f t="shared" si="2"/>
        <v>28</v>
      </c>
      <c r="K216" s="17" t="str">
        <f t="shared" si="3"/>
        <v>20</v>
      </c>
      <c r="L216" s="18" t="str">
        <f t="shared" si="4"/>
        <v>44.7</v>
      </c>
      <c r="M216" s="17" t="str">
        <f t="shared" si="5"/>
        <v>2</v>
      </c>
    </row>
    <row r="217" ht="14.25" customHeight="1">
      <c r="A217" s="8">
        <v>6.0</v>
      </c>
      <c r="B217" s="8">
        <v>1.0</v>
      </c>
      <c r="C217" s="8">
        <v>0.0</v>
      </c>
      <c r="D217" s="8" t="s">
        <v>113</v>
      </c>
      <c r="E217" s="8">
        <v>6.0</v>
      </c>
      <c r="F217" s="8">
        <v>0.0</v>
      </c>
      <c r="G217" s="8">
        <v>4.0</v>
      </c>
      <c r="H217" s="8">
        <v>0.0</v>
      </c>
      <c r="I217" s="16" t="str">
        <f t="shared" si="1"/>
        <v>6-1</v>
      </c>
      <c r="J217" s="17" t="str">
        <f t="shared" si="2"/>
        <v>60</v>
      </c>
      <c r="K217" s="17" t="str">
        <f t="shared" si="3"/>
        <v>120</v>
      </c>
      <c r="L217" s="18" t="str">
        <f t="shared" si="4"/>
        <v>220.6</v>
      </c>
      <c r="M217" s="17" t="str">
        <f t="shared" si="5"/>
        <v>4</v>
      </c>
    </row>
    <row r="218" ht="14.25" customHeight="1">
      <c r="A218" s="8">
        <v>6.0</v>
      </c>
      <c r="B218" s="8">
        <v>2.0</v>
      </c>
      <c r="C218" s="8">
        <v>0.0</v>
      </c>
      <c r="D218" s="8" t="s">
        <v>115</v>
      </c>
      <c r="E218" s="8">
        <v>6.0</v>
      </c>
      <c r="F218" s="8">
        <v>0.0</v>
      </c>
      <c r="G218" s="8">
        <v>4.0</v>
      </c>
      <c r="H218" s="8">
        <v>-1.0</v>
      </c>
      <c r="I218" s="16" t="str">
        <f t="shared" si="1"/>
        <v>6-2</v>
      </c>
      <c r="J218" s="17" t="str">
        <f t="shared" si="2"/>
        <v>108</v>
      </c>
      <c r="K218" s="17" t="str">
        <f t="shared" si="3"/>
        <v>180</v>
      </c>
      <c r="L218" s="18" t="str">
        <f t="shared" si="4"/>
        <v>384.7</v>
      </c>
      <c r="M218" s="17" t="str">
        <f t="shared" si="5"/>
        <v>4</v>
      </c>
    </row>
    <row r="219" ht="14.25" customHeight="1">
      <c r="A219" s="8">
        <v>6.0</v>
      </c>
      <c r="B219" s="8">
        <v>2.0</v>
      </c>
      <c r="C219" s="8">
        <v>0.0</v>
      </c>
      <c r="D219" s="8" t="s">
        <v>113</v>
      </c>
      <c r="E219" s="8">
        <v>7.0</v>
      </c>
      <c r="F219" s="8">
        <v>0.0</v>
      </c>
      <c r="G219" s="8">
        <v>5.0</v>
      </c>
      <c r="H219" s="8">
        <v>0.0</v>
      </c>
      <c r="I219" s="16" t="str">
        <f t="shared" si="1"/>
        <v>6-2</v>
      </c>
      <c r="J219" s="17" t="str">
        <f t="shared" si="2"/>
        <v>70</v>
      </c>
      <c r="K219" s="17" t="str">
        <f t="shared" si="3"/>
        <v>140</v>
      </c>
      <c r="L219" s="18" t="str">
        <f t="shared" si="4"/>
        <v>257.4</v>
      </c>
      <c r="M219" s="17" t="str">
        <f t="shared" si="5"/>
        <v>5</v>
      </c>
    </row>
    <row r="220" ht="14.25" customHeight="1">
      <c r="A220" s="8">
        <v>6.0</v>
      </c>
      <c r="B220" s="8">
        <v>3.0</v>
      </c>
      <c r="C220" s="8">
        <v>100.0</v>
      </c>
      <c r="D220" s="8" t="s">
        <v>117</v>
      </c>
      <c r="E220" s="8">
        <v>6.0</v>
      </c>
      <c r="F220" s="8">
        <v>0.0</v>
      </c>
      <c r="G220" s="8">
        <v>4.0</v>
      </c>
      <c r="H220" s="8">
        <v>-1.0</v>
      </c>
      <c r="I220" s="16" t="str">
        <f t="shared" si="1"/>
        <v>6-3</v>
      </c>
      <c r="J220" s="17" t="str">
        <f t="shared" si="2"/>
        <v>180</v>
      </c>
      <c r="K220" s="17" t="str">
        <f t="shared" si="3"/>
        <v>180</v>
      </c>
      <c r="L220" s="18" t="str">
        <f t="shared" si="4"/>
        <v>873.3</v>
      </c>
      <c r="M220" s="17" t="str">
        <f t="shared" si="5"/>
        <v>4</v>
      </c>
    </row>
    <row r="221" ht="14.25" customHeight="1">
      <c r="A221" s="8">
        <v>6.0</v>
      </c>
      <c r="B221" s="8">
        <v>3.0</v>
      </c>
      <c r="C221" s="8">
        <v>100.0</v>
      </c>
      <c r="D221" s="8" t="s">
        <v>113</v>
      </c>
      <c r="E221" s="8">
        <v>7.0</v>
      </c>
      <c r="F221" s="8">
        <v>0.0</v>
      </c>
      <c r="G221" s="8">
        <v>2.0</v>
      </c>
      <c r="H221" s="8">
        <v>0.0</v>
      </c>
      <c r="I221" s="16" t="str">
        <f t="shared" si="1"/>
        <v>6-3</v>
      </c>
      <c r="J221" s="17" t="str">
        <f t="shared" si="2"/>
        <v>70</v>
      </c>
      <c r="K221" s="17" t="str">
        <f t="shared" si="3"/>
        <v>140</v>
      </c>
      <c r="L221" s="18" t="str">
        <f t="shared" si="4"/>
        <v>257.4</v>
      </c>
      <c r="M221" s="17" t="str">
        <f t="shared" si="5"/>
        <v>2</v>
      </c>
    </row>
    <row r="222" ht="14.25" customHeight="1">
      <c r="A222" s="8">
        <v>6.0</v>
      </c>
      <c r="B222" s="8">
        <v>3.0</v>
      </c>
      <c r="C222" s="8">
        <v>100.0</v>
      </c>
      <c r="D222" s="8" t="s">
        <v>115</v>
      </c>
      <c r="E222" s="8">
        <v>5.0</v>
      </c>
      <c r="F222" s="8">
        <v>0.0</v>
      </c>
      <c r="G222" s="8">
        <v>1.0</v>
      </c>
      <c r="H222" s="8">
        <v>1.0</v>
      </c>
      <c r="I222" s="16" t="str">
        <f t="shared" si="1"/>
        <v>6-3</v>
      </c>
      <c r="J222" s="17" t="str">
        <f t="shared" si="2"/>
        <v>90</v>
      </c>
      <c r="K222" s="17" t="str">
        <f t="shared" si="3"/>
        <v>150</v>
      </c>
      <c r="L222" s="18" t="str">
        <f t="shared" si="4"/>
        <v>320.6</v>
      </c>
      <c r="M222" s="17" t="str">
        <f t="shared" si="5"/>
        <v>1</v>
      </c>
    </row>
    <row r="223" ht="14.25" customHeight="1">
      <c r="A223" s="8">
        <v>6.0</v>
      </c>
      <c r="B223" s="8">
        <v>4.0</v>
      </c>
      <c r="C223" s="8">
        <v>0.0</v>
      </c>
      <c r="D223" s="8" t="s">
        <v>115</v>
      </c>
      <c r="E223" s="8">
        <v>2.0</v>
      </c>
      <c r="F223" s="8">
        <v>3.0</v>
      </c>
      <c r="G223" s="8">
        <v>2.0</v>
      </c>
      <c r="H223" s="8">
        <v>1.0</v>
      </c>
      <c r="I223" s="16" t="str">
        <f t="shared" si="1"/>
        <v>6-4</v>
      </c>
      <c r="J223" s="17" t="str">
        <f t="shared" si="2"/>
        <v>36</v>
      </c>
      <c r="K223" s="17" t="str">
        <f t="shared" si="3"/>
        <v>60</v>
      </c>
      <c r="L223" s="18" t="str">
        <f t="shared" si="4"/>
        <v>128.2</v>
      </c>
      <c r="M223" s="17" t="str">
        <f t="shared" si="5"/>
        <v>5</v>
      </c>
    </row>
    <row r="224" ht="14.25" customHeight="1">
      <c r="A224" s="8">
        <v>6.0</v>
      </c>
      <c r="B224" s="8">
        <v>4.0</v>
      </c>
      <c r="C224" s="8">
        <v>0.0</v>
      </c>
      <c r="D224" s="8" t="s">
        <v>113</v>
      </c>
      <c r="E224" s="8">
        <v>6.0</v>
      </c>
      <c r="F224" s="8">
        <v>0.0</v>
      </c>
      <c r="G224" s="8">
        <v>4.0</v>
      </c>
      <c r="H224" s="8">
        <v>0.0</v>
      </c>
      <c r="I224" s="16" t="str">
        <f t="shared" si="1"/>
        <v>6-4</v>
      </c>
      <c r="J224" s="17" t="str">
        <f t="shared" si="2"/>
        <v>60</v>
      </c>
      <c r="K224" s="17" t="str">
        <f t="shared" si="3"/>
        <v>120</v>
      </c>
      <c r="L224" s="18" t="str">
        <f t="shared" si="4"/>
        <v>220.6</v>
      </c>
      <c r="M224" s="17" t="str">
        <f t="shared" si="5"/>
        <v>4</v>
      </c>
    </row>
    <row r="225" ht="14.25" customHeight="1">
      <c r="A225" s="8">
        <v>6.0</v>
      </c>
      <c r="B225" s="8">
        <v>5.0</v>
      </c>
      <c r="C225" s="8">
        <v>100.0</v>
      </c>
      <c r="D225" s="8" t="s">
        <v>123</v>
      </c>
      <c r="E225" s="8">
        <v>2.0</v>
      </c>
      <c r="F225" s="8">
        <v>3.0</v>
      </c>
      <c r="G225" s="8">
        <v>2.0</v>
      </c>
      <c r="H225" s="8">
        <v>-1.0</v>
      </c>
      <c r="I225" s="16" t="str">
        <f t="shared" si="1"/>
        <v>6-5</v>
      </c>
      <c r="J225" s="17" t="str">
        <f t="shared" si="2"/>
        <v>28</v>
      </c>
      <c r="K225" s="17" t="str">
        <f t="shared" si="3"/>
        <v>20</v>
      </c>
      <c r="L225" s="18" t="str">
        <f t="shared" si="4"/>
        <v>44.7</v>
      </c>
      <c r="M225" s="17" t="str">
        <f t="shared" si="5"/>
        <v>5</v>
      </c>
    </row>
    <row r="226" ht="14.25" customHeight="1">
      <c r="A226" s="8">
        <v>6.0</v>
      </c>
      <c r="B226" s="8">
        <v>5.0</v>
      </c>
      <c r="C226" s="8">
        <v>100.0</v>
      </c>
      <c r="D226" s="8" t="s">
        <v>113</v>
      </c>
      <c r="E226" s="8">
        <v>6.0</v>
      </c>
      <c r="F226" s="8">
        <v>0.0</v>
      </c>
      <c r="G226" s="8">
        <v>4.0</v>
      </c>
      <c r="H226" s="8">
        <v>-1.0</v>
      </c>
      <c r="I226" s="16" t="str">
        <f t="shared" si="1"/>
        <v>6-5</v>
      </c>
      <c r="J226" s="17" t="str">
        <f t="shared" si="2"/>
        <v>60</v>
      </c>
      <c r="K226" s="17" t="str">
        <f t="shared" si="3"/>
        <v>120</v>
      </c>
      <c r="L226" s="18" t="str">
        <f t="shared" si="4"/>
        <v>220.6</v>
      </c>
      <c r="M226" s="17" t="str">
        <f t="shared" si="5"/>
        <v>4</v>
      </c>
    </row>
    <row r="227" ht="14.25" customHeight="1">
      <c r="A227" s="8">
        <v>6.0</v>
      </c>
      <c r="B227" s="8">
        <v>6.0</v>
      </c>
      <c r="C227" s="8">
        <v>0.0</v>
      </c>
      <c r="D227" s="8" t="s">
        <v>113</v>
      </c>
      <c r="E227" s="8">
        <v>7.0</v>
      </c>
      <c r="F227" s="8">
        <v>0.0</v>
      </c>
      <c r="G227" s="8">
        <v>2.0</v>
      </c>
      <c r="H227" s="8">
        <v>0.0</v>
      </c>
      <c r="I227" s="16" t="str">
        <f t="shared" si="1"/>
        <v>6-6</v>
      </c>
      <c r="J227" s="17" t="str">
        <f t="shared" si="2"/>
        <v>70</v>
      </c>
      <c r="K227" s="17" t="str">
        <f t="shared" si="3"/>
        <v>140</v>
      </c>
      <c r="L227" s="18" t="str">
        <f t="shared" si="4"/>
        <v>257.4</v>
      </c>
      <c r="M227" s="17" t="str">
        <f t="shared" si="5"/>
        <v>2</v>
      </c>
    </row>
    <row r="228" ht="14.25" customHeight="1">
      <c r="A228" s="8">
        <v>6.0</v>
      </c>
      <c r="B228" s="8">
        <v>6.0</v>
      </c>
      <c r="C228" s="8">
        <v>0.0</v>
      </c>
      <c r="D228" s="8" t="s">
        <v>115</v>
      </c>
      <c r="E228" s="8">
        <v>4.0</v>
      </c>
      <c r="F228" s="8">
        <v>0.0</v>
      </c>
      <c r="G228" s="8">
        <v>1.0</v>
      </c>
      <c r="H228" s="8">
        <v>1.0</v>
      </c>
      <c r="I228" s="16" t="str">
        <f t="shared" si="1"/>
        <v>6-6</v>
      </c>
      <c r="J228" s="17" t="str">
        <f t="shared" si="2"/>
        <v>72</v>
      </c>
      <c r="K228" s="17" t="str">
        <f t="shared" si="3"/>
        <v>120</v>
      </c>
      <c r="L228" s="18" t="str">
        <f t="shared" si="4"/>
        <v>256.5</v>
      </c>
      <c r="M228" s="17" t="str">
        <f t="shared" si="5"/>
        <v>1</v>
      </c>
    </row>
    <row r="229" ht="14.25" customHeight="1">
      <c r="A229" s="8">
        <v>6.0</v>
      </c>
      <c r="B229" s="8">
        <v>6.0</v>
      </c>
      <c r="C229" s="8">
        <v>0.0</v>
      </c>
      <c r="D229" s="8" t="s">
        <v>123</v>
      </c>
      <c r="E229" s="8">
        <v>3.0</v>
      </c>
      <c r="F229" s="8">
        <v>0.0</v>
      </c>
      <c r="G229" s="8">
        <v>1.0</v>
      </c>
      <c r="H229" s="8">
        <v>-1.0</v>
      </c>
      <c r="I229" s="16" t="str">
        <f t="shared" si="1"/>
        <v>6-6</v>
      </c>
      <c r="J229" s="17" t="str">
        <f t="shared" si="2"/>
        <v>42</v>
      </c>
      <c r="K229" s="17" t="str">
        <f t="shared" si="3"/>
        <v>30</v>
      </c>
      <c r="L229" s="18" t="str">
        <f t="shared" si="4"/>
        <v>67.1</v>
      </c>
      <c r="M229" s="17" t="str">
        <f t="shared" si="5"/>
        <v>1</v>
      </c>
    </row>
    <row r="230" ht="14.25" customHeight="1">
      <c r="A230" s="8">
        <v>6.0</v>
      </c>
      <c r="B230" s="8">
        <v>7.0</v>
      </c>
      <c r="C230" s="8">
        <v>100.0</v>
      </c>
      <c r="D230" s="8" t="s">
        <v>115</v>
      </c>
      <c r="E230" s="8">
        <v>2.0</v>
      </c>
      <c r="F230" s="8">
        <v>3.0</v>
      </c>
      <c r="G230" s="8">
        <v>2.0</v>
      </c>
      <c r="H230" s="8">
        <v>1.0</v>
      </c>
      <c r="I230" s="16" t="str">
        <f t="shared" si="1"/>
        <v>6-7</v>
      </c>
      <c r="J230" s="17" t="str">
        <f t="shared" si="2"/>
        <v>36</v>
      </c>
      <c r="K230" s="17" t="str">
        <f t="shared" si="3"/>
        <v>60</v>
      </c>
      <c r="L230" s="18" t="str">
        <f t="shared" si="4"/>
        <v>128.2</v>
      </c>
      <c r="M230" s="17" t="str">
        <f t="shared" si="5"/>
        <v>5</v>
      </c>
    </row>
    <row r="231" ht="14.25" customHeight="1">
      <c r="A231" s="8">
        <v>6.0</v>
      </c>
      <c r="B231" s="8">
        <v>7.0</v>
      </c>
      <c r="C231" s="8">
        <v>100.0</v>
      </c>
      <c r="D231" s="8" t="s">
        <v>113</v>
      </c>
      <c r="E231" s="8">
        <v>2.0</v>
      </c>
      <c r="F231" s="8">
        <v>0.0</v>
      </c>
      <c r="G231" s="8">
        <v>2.0</v>
      </c>
      <c r="H231" s="8">
        <v>0.0</v>
      </c>
      <c r="I231" s="16" t="str">
        <f t="shared" si="1"/>
        <v>6-7</v>
      </c>
      <c r="J231" s="17" t="str">
        <f t="shared" si="2"/>
        <v>20</v>
      </c>
      <c r="K231" s="17" t="str">
        <f t="shared" si="3"/>
        <v>40</v>
      </c>
      <c r="L231" s="18" t="str">
        <f t="shared" si="4"/>
        <v>73.5</v>
      </c>
      <c r="M231" s="17" t="str">
        <f t="shared" si="5"/>
        <v>2</v>
      </c>
    </row>
    <row r="232" ht="14.25" customHeight="1">
      <c r="A232" s="8">
        <v>6.0</v>
      </c>
      <c r="B232" s="8">
        <v>7.0</v>
      </c>
      <c r="C232" s="8">
        <v>100.0</v>
      </c>
      <c r="D232" s="8" t="s">
        <v>117</v>
      </c>
      <c r="E232" s="8">
        <v>2.0</v>
      </c>
      <c r="F232" s="8">
        <v>9.0</v>
      </c>
      <c r="G232" s="8">
        <v>2.0</v>
      </c>
      <c r="H232" s="8">
        <v>-1.0</v>
      </c>
      <c r="I232" s="16" t="str">
        <f t="shared" si="1"/>
        <v>6-7</v>
      </c>
      <c r="J232" s="17" t="str">
        <f t="shared" si="2"/>
        <v>60</v>
      </c>
      <c r="K232" s="17" t="str">
        <f t="shared" si="3"/>
        <v>60</v>
      </c>
      <c r="L232" s="18" t="str">
        <f t="shared" si="4"/>
        <v>291.1</v>
      </c>
      <c r="M232" s="17" t="str">
        <f t="shared" si="5"/>
        <v>11</v>
      </c>
    </row>
    <row r="233" ht="14.25" customHeight="1">
      <c r="A233" s="8">
        <v>6.0</v>
      </c>
      <c r="B233" s="8">
        <v>7.0</v>
      </c>
      <c r="C233" s="8">
        <v>100.0</v>
      </c>
      <c r="D233" s="8" t="s">
        <v>120</v>
      </c>
      <c r="E233" s="8">
        <v>2.0</v>
      </c>
      <c r="F233" s="8">
        <v>6.0</v>
      </c>
      <c r="G233" s="8">
        <v>2.0</v>
      </c>
      <c r="H233" s="8">
        <v>-1.0</v>
      </c>
      <c r="I233" s="16" t="str">
        <f t="shared" si="1"/>
        <v>6-7</v>
      </c>
      <c r="J233" s="17" t="str">
        <f t="shared" si="2"/>
        <v>30</v>
      </c>
      <c r="K233" s="17" t="str">
        <f t="shared" si="3"/>
        <v>40</v>
      </c>
      <c r="L233" s="18" t="str">
        <f t="shared" si="4"/>
        <v>120.3</v>
      </c>
      <c r="M233" s="17" t="str">
        <f t="shared" si="5"/>
        <v>8</v>
      </c>
    </row>
    <row r="234" ht="14.25" customHeight="1">
      <c r="A234" s="8">
        <v>6.0</v>
      </c>
      <c r="B234" s="8">
        <v>7.0</v>
      </c>
      <c r="C234" s="8">
        <v>100.0</v>
      </c>
      <c r="D234" s="8" t="s">
        <v>123</v>
      </c>
      <c r="E234" s="8">
        <v>1.0</v>
      </c>
      <c r="F234" s="8">
        <v>12.0</v>
      </c>
      <c r="G234" s="8">
        <v>2.0</v>
      </c>
      <c r="H234" s="8">
        <v>1.0</v>
      </c>
      <c r="I234" s="16" t="str">
        <f t="shared" si="1"/>
        <v>6-7</v>
      </c>
      <c r="J234" s="17" t="str">
        <f t="shared" si="2"/>
        <v>14</v>
      </c>
      <c r="K234" s="17" t="str">
        <f t="shared" si="3"/>
        <v>10</v>
      </c>
      <c r="L234" s="18" t="str">
        <f t="shared" si="4"/>
        <v>22.4</v>
      </c>
      <c r="M234" s="17" t="str">
        <f t="shared" si="5"/>
        <v>14</v>
      </c>
    </row>
    <row r="235" ht="14.25" customHeight="1">
      <c r="A235" s="8">
        <v>6.0</v>
      </c>
      <c r="B235" s="8">
        <v>8.0</v>
      </c>
      <c r="C235" s="8">
        <v>100.0</v>
      </c>
      <c r="D235" s="8" t="s">
        <v>113</v>
      </c>
      <c r="E235" s="8">
        <v>6.0</v>
      </c>
      <c r="F235" s="8">
        <v>0.0</v>
      </c>
      <c r="G235" s="8">
        <v>4.0</v>
      </c>
      <c r="H235" s="8">
        <v>0.0</v>
      </c>
      <c r="I235" s="16" t="str">
        <f t="shared" si="1"/>
        <v>6-8</v>
      </c>
      <c r="J235" s="17" t="str">
        <f t="shared" si="2"/>
        <v>60</v>
      </c>
      <c r="K235" s="17" t="str">
        <f t="shared" si="3"/>
        <v>120</v>
      </c>
      <c r="L235" s="18" t="str">
        <f t="shared" si="4"/>
        <v>220.6</v>
      </c>
      <c r="M235" s="17" t="str">
        <f t="shared" si="5"/>
        <v>4</v>
      </c>
    </row>
    <row r="236" ht="14.25" customHeight="1">
      <c r="A236" s="8">
        <v>6.0</v>
      </c>
      <c r="B236" s="8">
        <v>8.0</v>
      </c>
      <c r="C236" s="8">
        <v>100.0</v>
      </c>
      <c r="D236" s="8" t="s">
        <v>115</v>
      </c>
      <c r="E236" s="8">
        <v>3.0</v>
      </c>
      <c r="F236" s="8">
        <v>3.0</v>
      </c>
      <c r="G236" s="8">
        <v>2.0</v>
      </c>
      <c r="H236" s="8">
        <v>1.0</v>
      </c>
      <c r="I236" s="16" t="str">
        <f t="shared" si="1"/>
        <v>6-8</v>
      </c>
      <c r="J236" s="17" t="str">
        <f t="shared" si="2"/>
        <v>54</v>
      </c>
      <c r="K236" s="17" t="str">
        <f t="shared" si="3"/>
        <v>90</v>
      </c>
      <c r="L236" s="18" t="str">
        <f t="shared" si="4"/>
        <v>192.4</v>
      </c>
      <c r="M236" s="17" t="str">
        <f t="shared" si="5"/>
        <v>5</v>
      </c>
    </row>
    <row r="237" ht="14.25" customHeight="1">
      <c r="A237" s="8">
        <v>6.0</v>
      </c>
      <c r="B237" s="8">
        <v>9.0</v>
      </c>
      <c r="C237" s="8">
        <v>200.0</v>
      </c>
      <c r="D237" s="8" t="s">
        <v>113</v>
      </c>
      <c r="E237" s="8">
        <v>11.0</v>
      </c>
      <c r="F237" s="8">
        <v>0.0</v>
      </c>
      <c r="G237" s="8">
        <v>3.0</v>
      </c>
      <c r="H237" s="8">
        <v>0.0</v>
      </c>
      <c r="I237" s="16" t="str">
        <f t="shared" si="1"/>
        <v>6-9</v>
      </c>
      <c r="J237" s="17" t="str">
        <f t="shared" si="2"/>
        <v>110</v>
      </c>
      <c r="K237" s="17" t="str">
        <f t="shared" si="3"/>
        <v>220</v>
      </c>
      <c r="L237" s="18" t="str">
        <f t="shared" si="4"/>
        <v>404.5</v>
      </c>
      <c r="M237" s="17" t="str">
        <f t="shared" si="5"/>
        <v>3</v>
      </c>
    </row>
    <row r="238" ht="14.25" customHeight="1">
      <c r="A238" s="8">
        <v>6.0</v>
      </c>
      <c r="B238" s="8">
        <v>9.0</v>
      </c>
      <c r="C238" s="8">
        <v>200.0</v>
      </c>
      <c r="D238" s="8" t="s">
        <v>123</v>
      </c>
      <c r="E238" s="8">
        <v>4.0</v>
      </c>
      <c r="F238" s="8">
        <v>0.0</v>
      </c>
      <c r="G238" s="8">
        <v>1.0</v>
      </c>
      <c r="H238" s="8">
        <v>0.0</v>
      </c>
      <c r="I238" s="16" t="str">
        <f t="shared" si="1"/>
        <v>6-9</v>
      </c>
      <c r="J238" s="17" t="str">
        <f t="shared" si="2"/>
        <v>56</v>
      </c>
      <c r="K238" s="17" t="str">
        <f t="shared" si="3"/>
        <v>40</v>
      </c>
      <c r="L238" s="18" t="str">
        <f t="shared" si="4"/>
        <v>89.4</v>
      </c>
      <c r="M238" s="17" t="str">
        <f t="shared" si="5"/>
        <v>1</v>
      </c>
    </row>
    <row r="239" ht="14.25" customHeight="1">
      <c r="A239" s="8">
        <v>6.0</v>
      </c>
      <c r="B239" s="8">
        <v>10.0</v>
      </c>
      <c r="C239" s="8">
        <v>0.0</v>
      </c>
      <c r="D239" s="8" t="s">
        <v>125</v>
      </c>
      <c r="E239" s="8">
        <v>1.0</v>
      </c>
      <c r="F239" s="8">
        <v>2.0</v>
      </c>
      <c r="G239" s="8">
        <v>0.0</v>
      </c>
      <c r="H239" s="8">
        <v>0.0</v>
      </c>
      <c r="I239" s="16" t="str">
        <f t="shared" si="1"/>
        <v>6-10</v>
      </c>
      <c r="J239" s="17" t="str">
        <f t="shared" si="2"/>
        <v>60</v>
      </c>
      <c r="K239" s="17" t="str">
        <f t="shared" si="3"/>
        <v>160</v>
      </c>
      <c r="L239" s="18" t="str">
        <f t="shared" si="4"/>
        <v>348.6</v>
      </c>
      <c r="M239" s="17" t="str">
        <f t="shared" si="5"/>
        <v>2</v>
      </c>
    </row>
    <row r="240" ht="14.25" customHeight="1">
      <c r="A240" s="8">
        <v>6.0</v>
      </c>
      <c r="B240" s="8">
        <v>10.0</v>
      </c>
      <c r="C240" s="8">
        <v>0.0</v>
      </c>
      <c r="D240" s="8" t="s">
        <v>120</v>
      </c>
      <c r="E240" s="8">
        <v>6.0</v>
      </c>
      <c r="F240" s="8">
        <v>6.0</v>
      </c>
      <c r="G240" s="8">
        <v>2.0</v>
      </c>
      <c r="H240" s="8">
        <v>1.0</v>
      </c>
      <c r="I240" s="16" t="str">
        <f t="shared" si="1"/>
        <v>6-10</v>
      </c>
      <c r="J240" s="17" t="str">
        <f t="shared" si="2"/>
        <v>90</v>
      </c>
      <c r="K240" s="17" t="str">
        <f t="shared" si="3"/>
        <v>120</v>
      </c>
      <c r="L240" s="18" t="str">
        <f t="shared" si="4"/>
        <v>360.8</v>
      </c>
      <c r="M240" s="17" t="str">
        <f t="shared" si="5"/>
        <v>8</v>
      </c>
    </row>
    <row r="241" ht="14.25" customHeight="1">
      <c r="A241" s="8">
        <v>6.0</v>
      </c>
      <c r="B241" s="8">
        <v>10.0</v>
      </c>
      <c r="C241" s="8">
        <v>0.0</v>
      </c>
      <c r="D241" s="8" t="s">
        <v>123</v>
      </c>
      <c r="E241" s="8">
        <v>3.0</v>
      </c>
      <c r="F241" s="8">
        <v>12.0</v>
      </c>
      <c r="G241" s="8">
        <v>2.0</v>
      </c>
      <c r="H241" s="8">
        <v>1.0</v>
      </c>
      <c r="I241" s="16" t="str">
        <f t="shared" si="1"/>
        <v>6-10</v>
      </c>
      <c r="J241" s="17" t="str">
        <f t="shared" si="2"/>
        <v>42</v>
      </c>
      <c r="K241" s="17" t="str">
        <f t="shared" si="3"/>
        <v>30</v>
      </c>
      <c r="L241" s="18" t="str">
        <f t="shared" si="4"/>
        <v>67.1</v>
      </c>
      <c r="M241" s="17" t="str">
        <f t="shared" si="5"/>
        <v>14</v>
      </c>
    </row>
    <row r="242" ht="14.25" customHeight="1">
      <c r="A242" s="8">
        <v>7.0</v>
      </c>
      <c r="B242" s="8">
        <v>1.0</v>
      </c>
      <c r="C242" s="8">
        <v>200.0</v>
      </c>
      <c r="D242" s="8" t="s">
        <v>113</v>
      </c>
      <c r="E242" s="8">
        <v>7.0</v>
      </c>
      <c r="F242" s="8">
        <v>0.0</v>
      </c>
      <c r="G242" s="8">
        <v>6.0</v>
      </c>
      <c r="H242" s="8">
        <v>0.0</v>
      </c>
      <c r="I242" s="16" t="str">
        <f t="shared" si="1"/>
        <v>7-1</v>
      </c>
      <c r="J242" s="17" t="str">
        <f t="shared" si="2"/>
        <v>70</v>
      </c>
      <c r="K242" s="17" t="str">
        <f t="shared" si="3"/>
        <v>140</v>
      </c>
      <c r="L242" s="18" t="str">
        <f t="shared" si="4"/>
        <v>257.4</v>
      </c>
      <c r="M242" s="17" t="str">
        <f t="shared" si="5"/>
        <v>6</v>
      </c>
    </row>
    <row r="243" ht="14.25" customHeight="1">
      <c r="A243" s="8">
        <v>7.0</v>
      </c>
      <c r="B243" s="8">
        <v>2.0</v>
      </c>
      <c r="C243" s="8">
        <v>0.0</v>
      </c>
      <c r="D243" s="8" t="s">
        <v>115</v>
      </c>
      <c r="E243" s="8">
        <v>6.0</v>
      </c>
      <c r="F243" s="8">
        <v>0.0</v>
      </c>
      <c r="G243" s="8">
        <v>4.0</v>
      </c>
      <c r="H243" s="8">
        <v>-1.0</v>
      </c>
      <c r="I243" s="16" t="str">
        <f t="shared" si="1"/>
        <v>7-2</v>
      </c>
      <c r="J243" s="17" t="str">
        <f t="shared" si="2"/>
        <v>108</v>
      </c>
      <c r="K243" s="17" t="str">
        <f t="shared" si="3"/>
        <v>180</v>
      </c>
      <c r="L243" s="18" t="str">
        <f t="shared" si="4"/>
        <v>384.7</v>
      </c>
      <c r="M243" s="17" t="str">
        <f t="shared" si="5"/>
        <v>4</v>
      </c>
    </row>
    <row r="244" ht="14.25" customHeight="1">
      <c r="A244" s="8">
        <v>7.0</v>
      </c>
      <c r="B244" s="8">
        <v>2.0</v>
      </c>
      <c r="C244" s="8">
        <v>0.0</v>
      </c>
      <c r="D244" s="8" t="s">
        <v>113</v>
      </c>
      <c r="E244" s="8">
        <v>10.0</v>
      </c>
      <c r="F244" s="8">
        <v>0.0</v>
      </c>
      <c r="G244" s="8">
        <v>8.0</v>
      </c>
      <c r="H244" s="8">
        <v>0.0</v>
      </c>
      <c r="I244" s="16" t="str">
        <f t="shared" si="1"/>
        <v>7-2</v>
      </c>
      <c r="J244" s="17" t="str">
        <f t="shared" si="2"/>
        <v>100</v>
      </c>
      <c r="K244" s="17" t="str">
        <f t="shared" si="3"/>
        <v>200</v>
      </c>
      <c r="L244" s="18" t="str">
        <f t="shared" si="4"/>
        <v>367.7</v>
      </c>
      <c r="M244" s="17" t="str">
        <f t="shared" si="5"/>
        <v>8</v>
      </c>
    </row>
    <row r="245" ht="14.25" customHeight="1">
      <c r="A245" s="8">
        <v>7.0</v>
      </c>
      <c r="B245" s="8">
        <v>3.0</v>
      </c>
      <c r="C245" s="8">
        <v>100.0</v>
      </c>
      <c r="D245" s="8" t="s">
        <v>117</v>
      </c>
      <c r="E245" s="8">
        <v>6.0</v>
      </c>
      <c r="F245" s="8">
        <v>0.0</v>
      </c>
      <c r="G245" s="8">
        <v>4.0</v>
      </c>
      <c r="H245" s="8">
        <v>-1.0</v>
      </c>
      <c r="I245" s="16" t="str">
        <f t="shared" si="1"/>
        <v>7-3</v>
      </c>
      <c r="J245" s="17" t="str">
        <f t="shared" si="2"/>
        <v>180</v>
      </c>
      <c r="K245" s="17" t="str">
        <f t="shared" si="3"/>
        <v>180</v>
      </c>
      <c r="L245" s="18" t="str">
        <f t="shared" si="4"/>
        <v>873.3</v>
      </c>
      <c r="M245" s="17" t="str">
        <f t="shared" si="5"/>
        <v>4</v>
      </c>
    </row>
    <row r="246" ht="14.25" customHeight="1">
      <c r="A246" s="8">
        <v>7.0</v>
      </c>
      <c r="B246" s="8">
        <v>3.0</v>
      </c>
      <c r="C246" s="8">
        <v>100.0</v>
      </c>
      <c r="D246" s="8" t="s">
        <v>120</v>
      </c>
      <c r="E246" s="8">
        <v>5.0</v>
      </c>
      <c r="F246" s="8">
        <v>2.0</v>
      </c>
      <c r="G246" s="8">
        <v>3.0</v>
      </c>
      <c r="H246" s="8">
        <v>1.0</v>
      </c>
      <c r="I246" s="16" t="str">
        <f t="shared" si="1"/>
        <v>7-3</v>
      </c>
      <c r="J246" s="17" t="str">
        <f t="shared" si="2"/>
        <v>75</v>
      </c>
      <c r="K246" s="17" t="str">
        <f t="shared" si="3"/>
        <v>100</v>
      </c>
      <c r="L246" s="18" t="str">
        <f t="shared" si="4"/>
        <v>300.7</v>
      </c>
      <c r="M246" s="17" t="str">
        <f t="shared" si="5"/>
        <v>5</v>
      </c>
    </row>
    <row r="247" ht="14.25" customHeight="1">
      <c r="A247" s="8">
        <v>7.0</v>
      </c>
      <c r="B247" s="8">
        <v>3.0</v>
      </c>
      <c r="C247" s="8">
        <v>100.0</v>
      </c>
      <c r="D247" s="8" t="s">
        <v>115</v>
      </c>
      <c r="E247" s="8">
        <v>7.0</v>
      </c>
      <c r="F247" s="8">
        <v>3.0</v>
      </c>
      <c r="G247" s="8">
        <v>2.0</v>
      </c>
      <c r="H247" s="8">
        <v>1.0</v>
      </c>
      <c r="I247" s="16" t="str">
        <f t="shared" si="1"/>
        <v>7-3</v>
      </c>
      <c r="J247" s="17" t="str">
        <f t="shared" si="2"/>
        <v>126</v>
      </c>
      <c r="K247" s="17" t="str">
        <f t="shared" si="3"/>
        <v>210</v>
      </c>
      <c r="L247" s="18" t="str">
        <f t="shared" si="4"/>
        <v>448.8</v>
      </c>
      <c r="M247" s="17" t="str">
        <f t="shared" si="5"/>
        <v>5</v>
      </c>
    </row>
    <row r="248" ht="14.25" customHeight="1">
      <c r="A248" s="8">
        <v>7.0</v>
      </c>
      <c r="B248" s="8">
        <v>4.0</v>
      </c>
      <c r="C248" s="8">
        <v>0.0</v>
      </c>
      <c r="D248" s="8" t="s">
        <v>120</v>
      </c>
      <c r="E248" s="8">
        <v>8.0</v>
      </c>
      <c r="F248" s="8">
        <v>0.0</v>
      </c>
      <c r="G248" s="8">
        <v>6.0</v>
      </c>
      <c r="H248" s="8">
        <v>-1.0</v>
      </c>
      <c r="I248" s="16" t="str">
        <f t="shared" si="1"/>
        <v>7-4</v>
      </c>
      <c r="J248" s="17" t="str">
        <f t="shared" si="2"/>
        <v>120</v>
      </c>
      <c r="K248" s="17" t="str">
        <f t="shared" si="3"/>
        <v>160</v>
      </c>
      <c r="L248" s="18" t="str">
        <f t="shared" si="4"/>
        <v>481.1</v>
      </c>
      <c r="M248" s="17" t="str">
        <f t="shared" si="5"/>
        <v>6</v>
      </c>
    </row>
    <row r="249" ht="14.25" customHeight="1">
      <c r="A249" s="8">
        <v>7.0</v>
      </c>
      <c r="B249" s="8">
        <v>4.0</v>
      </c>
      <c r="C249" s="8">
        <v>0.0</v>
      </c>
      <c r="D249" s="8" t="s">
        <v>117</v>
      </c>
      <c r="E249" s="8">
        <v>4.0</v>
      </c>
      <c r="F249" s="8">
        <v>3.0</v>
      </c>
      <c r="G249" s="8">
        <v>2.0</v>
      </c>
      <c r="H249" s="8">
        <v>-1.0</v>
      </c>
      <c r="I249" s="16" t="str">
        <f t="shared" si="1"/>
        <v>7-4</v>
      </c>
      <c r="J249" s="17" t="str">
        <f t="shared" si="2"/>
        <v>120</v>
      </c>
      <c r="K249" s="17" t="str">
        <f t="shared" si="3"/>
        <v>120</v>
      </c>
      <c r="L249" s="18" t="str">
        <f t="shared" si="4"/>
        <v>582.2</v>
      </c>
      <c r="M249" s="17" t="str">
        <f t="shared" si="5"/>
        <v>5</v>
      </c>
    </row>
    <row r="250" ht="14.25" customHeight="1">
      <c r="A250" s="8">
        <v>7.0</v>
      </c>
      <c r="B250" s="8">
        <v>5.0</v>
      </c>
      <c r="C250" s="8">
        <v>100.0</v>
      </c>
      <c r="D250" s="8" t="s">
        <v>123</v>
      </c>
      <c r="E250" s="8">
        <v>2.0</v>
      </c>
      <c r="F250" s="8">
        <v>3.0</v>
      </c>
      <c r="G250" s="8">
        <v>2.0</v>
      </c>
      <c r="H250" s="8">
        <v>0.0</v>
      </c>
      <c r="I250" s="16" t="str">
        <f t="shared" si="1"/>
        <v>7-5</v>
      </c>
      <c r="J250" s="17" t="str">
        <f t="shared" si="2"/>
        <v>28</v>
      </c>
      <c r="K250" s="17" t="str">
        <f t="shared" si="3"/>
        <v>20</v>
      </c>
      <c r="L250" s="18" t="str">
        <f t="shared" si="4"/>
        <v>44.7</v>
      </c>
      <c r="M250" s="17" t="str">
        <f t="shared" si="5"/>
        <v>5</v>
      </c>
    </row>
    <row r="251" ht="14.25" customHeight="1">
      <c r="A251" s="8">
        <v>7.0</v>
      </c>
      <c r="B251" s="8">
        <v>5.0</v>
      </c>
      <c r="C251" s="8">
        <v>100.0</v>
      </c>
      <c r="D251" s="8" t="s">
        <v>113</v>
      </c>
      <c r="E251" s="8">
        <v>6.0</v>
      </c>
      <c r="F251" s="8">
        <v>0.0</v>
      </c>
      <c r="G251" s="8">
        <v>5.0</v>
      </c>
      <c r="H251" s="8">
        <v>0.0</v>
      </c>
      <c r="I251" s="16" t="str">
        <f t="shared" si="1"/>
        <v>7-5</v>
      </c>
      <c r="J251" s="17" t="str">
        <f t="shared" si="2"/>
        <v>60</v>
      </c>
      <c r="K251" s="17" t="str">
        <f t="shared" si="3"/>
        <v>120</v>
      </c>
      <c r="L251" s="18" t="str">
        <f t="shared" si="4"/>
        <v>220.6</v>
      </c>
      <c r="M251" s="17" t="str">
        <f t="shared" si="5"/>
        <v>5</v>
      </c>
    </row>
    <row r="252" ht="14.25" customHeight="1">
      <c r="A252" s="8">
        <v>7.0</v>
      </c>
      <c r="B252" s="8">
        <v>6.0</v>
      </c>
      <c r="C252" s="8">
        <v>0.0</v>
      </c>
      <c r="D252" s="8" t="s">
        <v>113</v>
      </c>
      <c r="E252" s="8">
        <v>6.0</v>
      </c>
      <c r="F252" s="8">
        <v>0.0</v>
      </c>
      <c r="G252" s="8">
        <v>5.0</v>
      </c>
      <c r="H252" s="8">
        <v>0.0</v>
      </c>
      <c r="I252" s="16" t="str">
        <f t="shared" si="1"/>
        <v>7-6</v>
      </c>
      <c r="J252" s="17" t="str">
        <f t="shared" si="2"/>
        <v>60</v>
      </c>
      <c r="K252" s="17" t="str">
        <f t="shared" si="3"/>
        <v>120</v>
      </c>
      <c r="L252" s="18" t="str">
        <f t="shared" si="4"/>
        <v>220.6</v>
      </c>
      <c r="M252" s="17" t="str">
        <f t="shared" si="5"/>
        <v>5</v>
      </c>
    </row>
    <row r="253" ht="14.25" customHeight="1">
      <c r="A253" s="8">
        <v>7.0</v>
      </c>
      <c r="B253" s="8">
        <v>6.0</v>
      </c>
      <c r="C253" s="8">
        <v>0.0</v>
      </c>
      <c r="D253" s="8" t="s">
        <v>115</v>
      </c>
      <c r="E253" s="8">
        <v>4.0</v>
      </c>
      <c r="F253" s="8">
        <v>3.0</v>
      </c>
      <c r="G253" s="8">
        <v>3.0</v>
      </c>
      <c r="H253" s="8">
        <v>0.0</v>
      </c>
      <c r="I253" s="16" t="str">
        <f t="shared" si="1"/>
        <v>7-6</v>
      </c>
      <c r="J253" s="17" t="str">
        <f t="shared" si="2"/>
        <v>72</v>
      </c>
      <c r="K253" s="17" t="str">
        <f t="shared" si="3"/>
        <v>120</v>
      </c>
      <c r="L253" s="18" t="str">
        <f t="shared" si="4"/>
        <v>256.5</v>
      </c>
      <c r="M253" s="17" t="str">
        <f t="shared" si="5"/>
        <v>6</v>
      </c>
    </row>
    <row r="254" ht="14.25" customHeight="1">
      <c r="A254" s="8">
        <v>7.0</v>
      </c>
      <c r="B254" s="8">
        <v>6.0</v>
      </c>
      <c r="C254" s="8">
        <v>0.0</v>
      </c>
      <c r="D254" s="8" t="s">
        <v>123</v>
      </c>
      <c r="E254" s="8">
        <v>2.0</v>
      </c>
      <c r="F254" s="8">
        <v>0.0</v>
      </c>
      <c r="G254" s="8">
        <v>2.0</v>
      </c>
      <c r="H254" s="8">
        <v>0.0</v>
      </c>
      <c r="I254" s="16" t="str">
        <f t="shared" si="1"/>
        <v>7-6</v>
      </c>
      <c r="J254" s="17" t="str">
        <f t="shared" si="2"/>
        <v>28</v>
      </c>
      <c r="K254" s="17" t="str">
        <f t="shared" si="3"/>
        <v>20</v>
      </c>
      <c r="L254" s="18" t="str">
        <f t="shared" si="4"/>
        <v>44.7</v>
      </c>
      <c r="M254" s="17" t="str">
        <f t="shared" si="5"/>
        <v>2</v>
      </c>
    </row>
    <row r="255" ht="14.25" customHeight="1">
      <c r="A255" s="8">
        <v>7.0</v>
      </c>
      <c r="B255" s="8">
        <v>7.0</v>
      </c>
      <c r="C255" s="8">
        <v>100.0</v>
      </c>
      <c r="D255" s="8" t="s">
        <v>115</v>
      </c>
      <c r="E255" s="8">
        <v>2.0</v>
      </c>
      <c r="F255" s="8">
        <v>1.0</v>
      </c>
      <c r="G255" s="8">
        <v>2.0</v>
      </c>
      <c r="H255" s="8">
        <v>1.0</v>
      </c>
      <c r="I255" s="16" t="str">
        <f t="shared" si="1"/>
        <v>7-7</v>
      </c>
      <c r="J255" s="17" t="str">
        <f t="shared" si="2"/>
        <v>36</v>
      </c>
      <c r="K255" s="17" t="str">
        <f t="shared" si="3"/>
        <v>60</v>
      </c>
      <c r="L255" s="18" t="str">
        <f t="shared" si="4"/>
        <v>128.2</v>
      </c>
      <c r="M255" s="17" t="str">
        <f t="shared" si="5"/>
        <v>3</v>
      </c>
    </row>
    <row r="256" ht="14.25" customHeight="1">
      <c r="A256" s="8">
        <v>7.0</v>
      </c>
      <c r="B256" s="8">
        <v>7.0</v>
      </c>
      <c r="C256" s="8">
        <v>100.0</v>
      </c>
      <c r="D256" s="8" t="s">
        <v>113</v>
      </c>
      <c r="E256" s="8">
        <v>2.0</v>
      </c>
      <c r="F256" s="8">
        <v>0.0</v>
      </c>
      <c r="G256" s="8">
        <v>2.0</v>
      </c>
      <c r="H256" s="8">
        <v>0.0</v>
      </c>
      <c r="I256" s="16" t="str">
        <f t="shared" si="1"/>
        <v>7-7</v>
      </c>
      <c r="J256" s="17" t="str">
        <f t="shared" si="2"/>
        <v>20</v>
      </c>
      <c r="K256" s="17" t="str">
        <f t="shared" si="3"/>
        <v>40</v>
      </c>
      <c r="L256" s="18" t="str">
        <f t="shared" si="4"/>
        <v>73.5</v>
      </c>
      <c r="M256" s="17" t="str">
        <f t="shared" si="5"/>
        <v>2</v>
      </c>
    </row>
    <row r="257" ht="14.25" customHeight="1">
      <c r="A257" s="8">
        <v>7.0</v>
      </c>
      <c r="B257" s="8">
        <v>7.0</v>
      </c>
      <c r="C257" s="8">
        <v>100.0</v>
      </c>
      <c r="D257" s="8" t="s">
        <v>117</v>
      </c>
      <c r="E257" s="8">
        <v>2.0</v>
      </c>
      <c r="F257" s="8">
        <v>3.0</v>
      </c>
      <c r="G257" s="8">
        <v>2.0</v>
      </c>
      <c r="H257" s="8">
        <v>1.0</v>
      </c>
      <c r="I257" s="16" t="str">
        <f t="shared" si="1"/>
        <v>7-7</v>
      </c>
      <c r="J257" s="17" t="str">
        <f t="shared" si="2"/>
        <v>60</v>
      </c>
      <c r="K257" s="17" t="str">
        <f t="shared" si="3"/>
        <v>60</v>
      </c>
      <c r="L257" s="18" t="str">
        <f t="shared" si="4"/>
        <v>291.1</v>
      </c>
      <c r="M257" s="17" t="str">
        <f t="shared" si="5"/>
        <v>5</v>
      </c>
    </row>
    <row r="258" ht="14.25" customHeight="1">
      <c r="A258" s="8">
        <v>7.0</v>
      </c>
      <c r="B258" s="8">
        <v>7.0</v>
      </c>
      <c r="C258" s="8">
        <v>100.0</v>
      </c>
      <c r="D258" s="8" t="s">
        <v>123</v>
      </c>
      <c r="E258" s="8">
        <v>2.0</v>
      </c>
      <c r="F258" s="8">
        <v>0.0</v>
      </c>
      <c r="G258" s="8">
        <v>2.0</v>
      </c>
      <c r="H258" s="8">
        <v>0.0</v>
      </c>
      <c r="I258" s="16" t="str">
        <f t="shared" si="1"/>
        <v>7-7</v>
      </c>
      <c r="J258" s="17" t="str">
        <f t="shared" si="2"/>
        <v>28</v>
      </c>
      <c r="K258" s="17" t="str">
        <f t="shared" si="3"/>
        <v>20</v>
      </c>
      <c r="L258" s="18" t="str">
        <f t="shared" si="4"/>
        <v>44.7</v>
      </c>
      <c r="M258" s="17" t="str">
        <f t="shared" si="5"/>
        <v>2</v>
      </c>
    </row>
    <row r="259" ht="14.25" customHeight="1">
      <c r="A259" s="8">
        <v>7.0</v>
      </c>
      <c r="B259" s="8">
        <v>7.0</v>
      </c>
      <c r="C259" s="8">
        <v>100.0</v>
      </c>
      <c r="D259" s="8" t="s">
        <v>120</v>
      </c>
      <c r="E259" s="8">
        <v>2.0</v>
      </c>
      <c r="F259" s="8">
        <v>3.0</v>
      </c>
      <c r="G259" s="8">
        <v>2.0</v>
      </c>
      <c r="H259" s="8">
        <v>1.0</v>
      </c>
      <c r="I259" s="16" t="str">
        <f t="shared" si="1"/>
        <v>7-7</v>
      </c>
      <c r="J259" s="17" t="str">
        <f t="shared" si="2"/>
        <v>30</v>
      </c>
      <c r="K259" s="17" t="str">
        <f t="shared" si="3"/>
        <v>40</v>
      </c>
      <c r="L259" s="18" t="str">
        <f t="shared" si="4"/>
        <v>120.3</v>
      </c>
      <c r="M259" s="17" t="str">
        <f t="shared" si="5"/>
        <v>5</v>
      </c>
    </row>
    <row r="260" ht="14.25" customHeight="1">
      <c r="A260" s="8">
        <v>7.0</v>
      </c>
      <c r="B260" s="8">
        <v>8.0</v>
      </c>
      <c r="C260" s="8">
        <v>100.0</v>
      </c>
      <c r="D260" s="8" t="s">
        <v>113</v>
      </c>
      <c r="E260" s="8">
        <v>9.0</v>
      </c>
      <c r="F260" s="8">
        <v>0.0</v>
      </c>
      <c r="G260" s="8">
        <v>7.0</v>
      </c>
      <c r="H260" s="8">
        <v>-1.0</v>
      </c>
      <c r="I260" s="16" t="str">
        <f t="shared" si="1"/>
        <v>7-8</v>
      </c>
      <c r="J260" s="17" t="str">
        <f t="shared" si="2"/>
        <v>90</v>
      </c>
      <c r="K260" s="17" t="str">
        <f t="shared" si="3"/>
        <v>180</v>
      </c>
      <c r="L260" s="18" t="str">
        <f t="shared" si="4"/>
        <v>331.0</v>
      </c>
      <c r="M260" s="17" t="str">
        <f t="shared" si="5"/>
        <v>7</v>
      </c>
    </row>
    <row r="261" ht="14.25" customHeight="1">
      <c r="A261" s="8">
        <v>7.0</v>
      </c>
      <c r="B261" s="8">
        <v>8.0</v>
      </c>
      <c r="C261" s="8">
        <v>100.0</v>
      </c>
      <c r="D261" s="8" t="s">
        <v>115</v>
      </c>
      <c r="E261" s="8">
        <v>4.0</v>
      </c>
      <c r="F261" s="8">
        <v>3.0</v>
      </c>
      <c r="G261" s="8">
        <v>3.0</v>
      </c>
      <c r="H261" s="8">
        <v>-1.0</v>
      </c>
      <c r="I261" s="16" t="str">
        <f t="shared" si="1"/>
        <v>7-8</v>
      </c>
      <c r="J261" s="17" t="str">
        <f t="shared" si="2"/>
        <v>72</v>
      </c>
      <c r="K261" s="17" t="str">
        <f t="shared" si="3"/>
        <v>120</v>
      </c>
      <c r="L261" s="18" t="str">
        <f t="shared" si="4"/>
        <v>256.5</v>
      </c>
      <c r="M261" s="17" t="str">
        <f t="shared" si="5"/>
        <v>6</v>
      </c>
    </row>
    <row r="262" ht="14.25" customHeight="1">
      <c r="A262" s="8">
        <v>7.0</v>
      </c>
      <c r="B262" s="8">
        <v>9.0</v>
      </c>
      <c r="C262" s="8">
        <v>200.0</v>
      </c>
      <c r="D262" s="8" t="s">
        <v>113</v>
      </c>
      <c r="E262" s="8">
        <v>8.0</v>
      </c>
      <c r="F262" s="8">
        <v>0.0</v>
      </c>
      <c r="G262" s="8">
        <v>6.0</v>
      </c>
      <c r="H262" s="8">
        <v>1.0</v>
      </c>
      <c r="I262" s="16" t="str">
        <f t="shared" si="1"/>
        <v>7-9</v>
      </c>
      <c r="J262" s="17" t="str">
        <f t="shared" si="2"/>
        <v>80</v>
      </c>
      <c r="K262" s="17" t="str">
        <f t="shared" si="3"/>
        <v>160</v>
      </c>
      <c r="L262" s="18" t="str">
        <f t="shared" si="4"/>
        <v>294.2</v>
      </c>
      <c r="M262" s="17" t="str">
        <f t="shared" si="5"/>
        <v>6</v>
      </c>
    </row>
    <row r="263" ht="14.25" customHeight="1">
      <c r="A263" s="8">
        <v>7.0</v>
      </c>
      <c r="B263" s="8">
        <v>9.0</v>
      </c>
      <c r="C263" s="8">
        <v>200.0</v>
      </c>
      <c r="D263" s="8" t="s">
        <v>123</v>
      </c>
      <c r="E263" s="8">
        <v>3.0</v>
      </c>
      <c r="F263" s="8">
        <v>3.0</v>
      </c>
      <c r="G263" s="8">
        <v>2.0</v>
      </c>
      <c r="H263" s="8">
        <v>1.0</v>
      </c>
      <c r="I263" s="16" t="str">
        <f t="shared" si="1"/>
        <v>7-9</v>
      </c>
      <c r="J263" s="17" t="str">
        <f t="shared" si="2"/>
        <v>42</v>
      </c>
      <c r="K263" s="17" t="str">
        <f t="shared" si="3"/>
        <v>30</v>
      </c>
      <c r="L263" s="18" t="str">
        <f t="shared" si="4"/>
        <v>67.1</v>
      </c>
      <c r="M263" s="17" t="str">
        <f t="shared" si="5"/>
        <v>5</v>
      </c>
    </row>
    <row r="264" ht="14.25" customHeight="1">
      <c r="A264" s="8">
        <v>7.0</v>
      </c>
      <c r="B264" s="8">
        <v>10.0</v>
      </c>
      <c r="C264" s="8">
        <v>0.0</v>
      </c>
      <c r="D264" s="8" t="s">
        <v>125</v>
      </c>
      <c r="E264" s="8">
        <v>1.0</v>
      </c>
      <c r="F264" s="8">
        <v>1.0</v>
      </c>
      <c r="G264" s="8">
        <v>0.0</v>
      </c>
      <c r="H264" s="8">
        <v>1.0</v>
      </c>
      <c r="I264" s="16" t="str">
        <f t="shared" si="1"/>
        <v>7-10</v>
      </c>
      <c r="J264" s="17" t="str">
        <f t="shared" si="2"/>
        <v>60</v>
      </c>
      <c r="K264" s="17" t="str">
        <f t="shared" si="3"/>
        <v>160</v>
      </c>
      <c r="L264" s="18" t="str">
        <f t="shared" si="4"/>
        <v>348.6</v>
      </c>
      <c r="M264" s="17" t="str">
        <f t="shared" si="5"/>
        <v>1</v>
      </c>
    </row>
    <row r="265" ht="14.25" customHeight="1">
      <c r="A265" s="8">
        <v>7.0</v>
      </c>
      <c r="B265" s="8">
        <v>10.0</v>
      </c>
      <c r="C265" s="8">
        <v>0.0</v>
      </c>
      <c r="D265" s="8" t="s">
        <v>113</v>
      </c>
      <c r="E265" s="8">
        <v>8.0</v>
      </c>
      <c r="F265" s="8">
        <v>1.0</v>
      </c>
      <c r="G265" s="8">
        <v>0.0</v>
      </c>
      <c r="H265" s="8">
        <v>0.0</v>
      </c>
      <c r="I265" s="16" t="str">
        <f t="shared" si="1"/>
        <v>7-10</v>
      </c>
      <c r="J265" s="17" t="str">
        <f t="shared" si="2"/>
        <v>80</v>
      </c>
      <c r="K265" s="17" t="str">
        <f t="shared" si="3"/>
        <v>160</v>
      </c>
      <c r="L265" s="18" t="str">
        <f t="shared" si="4"/>
        <v>294.2</v>
      </c>
      <c r="M265" s="17" t="str">
        <f t="shared" si="5"/>
        <v>1</v>
      </c>
    </row>
    <row r="266" ht="14.25" customHeight="1">
      <c r="A266" s="8">
        <v>7.0</v>
      </c>
      <c r="B266" s="8">
        <v>10.0</v>
      </c>
      <c r="C266" s="8">
        <v>0.0</v>
      </c>
      <c r="D266" s="8" t="s">
        <v>115</v>
      </c>
      <c r="E266" s="8">
        <v>8.0</v>
      </c>
      <c r="F266" s="8">
        <v>1.0</v>
      </c>
      <c r="G266" s="8">
        <v>0.0</v>
      </c>
      <c r="H266" s="8">
        <v>0.0</v>
      </c>
      <c r="I266" s="16" t="str">
        <f t="shared" si="1"/>
        <v>7-10</v>
      </c>
      <c r="J266" s="17" t="str">
        <f t="shared" si="2"/>
        <v>144</v>
      </c>
      <c r="K266" s="17" t="str">
        <f t="shared" si="3"/>
        <v>240</v>
      </c>
      <c r="L266" s="18" t="str">
        <f t="shared" si="4"/>
        <v>512.9</v>
      </c>
      <c r="M266" s="17" t="str">
        <f t="shared" si="5"/>
        <v>1</v>
      </c>
    </row>
    <row r="267" ht="14.25" customHeight="1">
      <c r="A267" s="8">
        <v>8.0</v>
      </c>
      <c r="B267" s="8">
        <v>1.0</v>
      </c>
      <c r="C267" s="8">
        <v>100.0</v>
      </c>
      <c r="D267" s="8" t="s">
        <v>120</v>
      </c>
      <c r="E267" s="8">
        <v>5.0</v>
      </c>
      <c r="F267" s="8">
        <v>1.0</v>
      </c>
      <c r="G267" s="8">
        <v>4.0</v>
      </c>
      <c r="H267" s="8">
        <v>0.0</v>
      </c>
      <c r="I267" s="16" t="str">
        <f t="shared" si="1"/>
        <v>8-1</v>
      </c>
      <c r="J267" s="17" t="str">
        <f t="shared" si="2"/>
        <v>75</v>
      </c>
      <c r="K267" s="17" t="str">
        <f t="shared" si="3"/>
        <v>100</v>
      </c>
      <c r="L267" s="18" t="str">
        <f t="shared" si="4"/>
        <v>300.7</v>
      </c>
      <c r="M267" s="17" t="str">
        <f t="shared" si="5"/>
        <v>5</v>
      </c>
    </row>
    <row r="268" ht="14.25" customHeight="1">
      <c r="A268" s="8">
        <v>8.0</v>
      </c>
      <c r="B268" s="8">
        <v>2.0</v>
      </c>
      <c r="C268" s="8">
        <v>0.0</v>
      </c>
      <c r="D268" s="8" t="s">
        <v>115</v>
      </c>
      <c r="E268" s="8">
        <v>6.0</v>
      </c>
      <c r="F268" s="8">
        <v>1.0</v>
      </c>
      <c r="G268" s="8">
        <v>4.0</v>
      </c>
      <c r="H268" s="8">
        <v>-1.0</v>
      </c>
      <c r="I268" s="16" t="str">
        <f t="shared" si="1"/>
        <v>8-2</v>
      </c>
      <c r="J268" s="17" t="str">
        <f t="shared" si="2"/>
        <v>108</v>
      </c>
      <c r="K268" s="17" t="str">
        <f t="shared" si="3"/>
        <v>180</v>
      </c>
      <c r="L268" s="18" t="str">
        <f t="shared" si="4"/>
        <v>384.7</v>
      </c>
      <c r="M268" s="17" t="str">
        <f t="shared" si="5"/>
        <v>5</v>
      </c>
    </row>
    <row r="269" ht="14.25" customHeight="1">
      <c r="A269" s="8">
        <v>8.0</v>
      </c>
      <c r="B269" s="8">
        <v>2.0</v>
      </c>
      <c r="C269" s="8">
        <v>0.0</v>
      </c>
      <c r="D269" s="8" t="s">
        <v>120</v>
      </c>
      <c r="E269" s="8">
        <v>7.0</v>
      </c>
      <c r="F269" s="8">
        <v>2.0</v>
      </c>
      <c r="G269" s="8">
        <v>3.0</v>
      </c>
      <c r="H269" s="8">
        <v>1.0</v>
      </c>
      <c r="I269" s="16" t="str">
        <f t="shared" si="1"/>
        <v>8-2</v>
      </c>
      <c r="J269" s="17" t="str">
        <f t="shared" si="2"/>
        <v>105</v>
      </c>
      <c r="K269" s="17" t="str">
        <f t="shared" si="3"/>
        <v>140</v>
      </c>
      <c r="L269" s="18" t="str">
        <f t="shared" si="4"/>
        <v>421.0</v>
      </c>
      <c r="M269" s="17" t="str">
        <f t="shared" si="5"/>
        <v>5</v>
      </c>
    </row>
    <row r="270" ht="14.25" customHeight="1">
      <c r="A270" s="8">
        <v>8.0</v>
      </c>
      <c r="B270" s="8">
        <v>3.0</v>
      </c>
      <c r="C270" s="8">
        <v>100.0</v>
      </c>
      <c r="D270" s="8" t="s">
        <v>117</v>
      </c>
      <c r="E270" s="8">
        <v>6.0</v>
      </c>
      <c r="F270" s="8">
        <v>1.0</v>
      </c>
      <c r="G270" s="8">
        <v>4.0</v>
      </c>
      <c r="H270" s="8">
        <v>-1.0</v>
      </c>
      <c r="I270" s="16" t="str">
        <f t="shared" si="1"/>
        <v>8-3</v>
      </c>
      <c r="J270" s="17" t="str">
        <f t="shared" si="2"/>
        <v>180</v>
      </c>
      <c r="K270" s="17" t="str">
        <f t="shared" si="3"/>
        <v>180</v>
      </c>
      <c r="L270" s="18" t="str">
        <f t="shared" si="4"/>
        <v>873.3</v>
      </c>
      <c r="M270" s="17" t="str">
        <f t="shared" si="5"/>
        <v>5</v>
      </c>
    </row>
    <row r="271" ht="14.25" customHeight="1">
      <c r="A271" s="8">
        <v>8.0</v>
      </c>
      <c r="B271" s="8">
        <v>3.0</v>
      </c>
      <c r="C271" s="8">
        <v>100.0</v>
      </c>
      <c r="D271" s="8" t="s">
        <v>120</v>
      </c>
      <c r="E271" s="8">
        <v>3.0</v>
      </c>
      <c r="F271" s="8">
        <v>2.0</v>
      </c>
      <c r="G271" s="8">
        <v>3.0</v>
      </c>
      <c r="H271" s="8">
        <v>2.0</v>
      </c>
      <c r="I271" s="16" t="str">
        <f t="shared" si="1"/>
        <v>8-3</v>
      </c>
      <c r="J271" s="17" t="str">
        <f t="shared" si="2"/>
        <v>45</v>
      </c>
      <c r="K271" s="17" t="str">
        <f t="shared" si="3"/>
        <v>60</v>
      </c>
      <c r="L271" s="18" t="str">
        <f t="shared" si="4"/>
        <v>180.4</v>
      </c>
      <c r="M271" s="17" t="str">
        <f t="shared" si="5"/>
        <v>5</v>
      </c>
    </row>
    <row r="272" ht="14.25" customHeight="1">
      <c r="A272" s="8">
        <v>8.0</v>
      </c>
      <c r="B272" s="8">
        <v>3.0</v>
      </c>
      <c r="C272" s="8">
        <v>100.0</v>
      </c>
      <c r="D272" s="8" t="s">
        <v>115</v>
      </c>
      <c r="E272" s="8">
        <v>2.0</v>
      </c>
      <c r="F272" s="8">
        <v>2.0</v>
      </c>
      <c r="G272" s="8">
        <v>3.0</v>
      </c>
      <c r="H272" s="8">
        <v>2.0</v>
      </c>
      <c r="I272" s="16" t="str">
        <f t="shared" si="1"/>
        <v>8-3</v>
      </c>
      <c r="J272" s="17" t="str">
        <f t="shared" si="2"/>
        <v>36</v>
      </c>
      <c r="K272" s="17" t="str">
        <f t="shared" si="3"/>
        <v>60</v>
      </c>
      <c r="L272" s="18" t="str">
        <f t="shared" si="4"/>
        <v>128.2</v>
      </c>
      <c r="M272" s="17" t="str">
        <f t="shared" si="5"/>
        <v>5</v>
      </c>
    </row>
    <row r="273" ht="14.25" customHeight="1">
      <c r="A273" s="8">
        <v>8.0</v>
      </c>
      <c r="B273" s="8">
        <v>4.0</v>
      </c>
      <c r="C273" s="8">
        <v>100.0</v>
      </c>
      <c r="D273" s="8" t="s">
        <v>120</v>
      </c>
      <c r="E273" s="8">
        <v>5.0</v>
      </c>
      <c r="F273" s="8">
        <v>1.0</v>
      </c>
      <c r="G273" s="8">
        <v>6.0</v>
      </c>
      <c r="H273" s="8">
        <v>3.0</v>
      </c>
      <c r="I273" s="16" t="str">
        <f t="shared" si="1"/>
        <v>8-4</v>
      </c>
      <c r="J273" s="17" t="str">
        <f t="shared" si="2"/>
        <v>75</v>
      </c>
      <c r="K273" s="17" t="str">
        <f t="shared" si="3"/>
        <v>100</v>
      </c>
      <c r="L273" s="18" t="str">
        <f t="shared" si="4"/>
        <v>300.7</v>
      </c>
      <c r="M273" s="17" t="str">
        <f t="shared" si="5"/>
        <v>7</v>
      </c>
    </row>
    <row r="274" ht="14.25" customHeight="1">
      <c r="A274" s="8">
        <v>8.0</v>
      </c>
      <c r="B274" s="8">
        <v>4.0</v>
      </c>
      <c r="C274" s="8">
        <v>100.0</v>
      </c>
      <c r="D274" s="8" t="s">
        <v>113</v>
      </c>
      <c r="E274" s="8">
        <v>3.0</v>
      </c>
      <c r="F274" s="8">
        <v>1.0</v>
      </c>
      <c r="G274" s="8">
        <v>4.0</v>
      </c>
      <c r="H274" s="8">
        <v>3.0</v>
      </c>
      <c r="I274" s="16" t="str">
        <f t="shared" si="1"/>
        <v>8-4</v>
      </c>
      <c r="J274" s="17" t="str">
        <f t="shared" si="2"/>
        <v>30</v>
      </c>
      <c r="K274" s="17" t="str">
        <f t="shared" si="3"/>
        <v>60</v>
      </c>
      <c r="L274" s="18" t="str">
        <f t="shared" si="4"/>
        <v>110.3</v>
      </c>
      <c r="M274" s="17" t="str">
        <f t="shared" si="5"/>
        <v>5</v>
      </c>
    </row>
    <row r="275" ht="14.25" customHeight="1">
      <c r="A275" s="8">
        <v>8.0</v>
      </c>
      <c r="B275" s="8">
        <v>5.0</v>
      </c>
      <c r="C275" s="8">
        <v>200.0</v>
      </c>
      <c r="D275" s="8" t="s">
        <v>120</v>
      </c>
      <c r="E275" s="8">
        <v>8.0</v>
      </c>
      <c r="F275" s="8">
        <v>1.0</v>
      </c>
      <c r="G275" s="8">
        <v>5.0</v>
      </c>
      <c r="H275" s="8">
        <v>2.0</v>
      </c>
      <c r="I275" s="16" t="str">
        <f t="shared" si="1"/>
        <v>8-5</v>
      </c>
      <c r="J275" s="17" t="str">
        <f t="shared" si="2"/>
        <v>120</v>
      </c>
      <c r="K275" s="17" t="str">
        <f t="shared" si="3"/>
        <v>160</v>
      </c>
      <c r="L275" s="18" t="str">
        <f t="shared" si="4"/>
        <v>481.1</v>
      </c>
      <c r="M275" s="17" t="str">
        <f t="shared" si="5"/>
        <v>6</v>
      </c>
    </row>
    <row r="276" ht="14.25" customHeight="1">
      <c r="A276" s="8">
        <v>8.0</v>
      </c>
      <c r="B276" s="8">
        <v>5.0</v>
      </c>
      <c r="C276" s="8">
        <v>200.0</v>
      </c>
      <c r="D276" s="8" t="s">
        <v>113</v>
      </c>
      <c r="E276" s="8">
        <v>5.0</v>
      </c>
      <c r="F276" s="8">
        <v>1.0</v>
      </c>
      <c r="G276" s="8">
        <v>8.0</v>
      </c>
      <c r="H276" s="8">
        <v>2.0</v>
      </c>
      <c r="I276" s="16" t="str">
        <f t="shared" si="1"/>
        <v>8-5</v>
      </c>
      <c r="J276" s="17" t="str">
        <f t="shared" si="2"/>
        <v>50</v>
      </c>
      <c r="K276" s="17" t="str">
        <f t="shared" si="3"/>
        <v>100</v>
      </c>
      <c r="L276" s="18" t="str">
        <f t="shared" si="4"/>
        <v>183.9</v>
      </c>
      <c r="M276" s="17" t="str">
        <f t="shared" si="5"/>
        <v>9</v>
      </c>
    </row>
    <row r="277" ht="14.25" customHeight="1">
      <c r="A277" s="8">
        <v>8.0</v>
      </c>
      <c r="B277" s="8">
        <v>6.0</v>
      </c>
      <c r="C277" s="8">
        <v>0.0</v>
      </c>
      <c r="D277" s="8" t="s">
        <v>120</v>
      </c>
      <c r="E277" s="8">
        <v>10.0</v>
      </c>
      <c r="F277" s="8">
        <v>1.0</v>
      </c>
      <c r="G277" s="8">
        <v>7.0</v>
      </c>
      <c r="H277" s="8">
        <v>1.0</v>
      </c>
      <c r="I277" s="16" t="str">
        <f t="shared" si="1"/>
        <v>8-6</v>
      </c>
      <c r="J277" s="17" t="str">
        <f t="shared" si="2"/>
        <v>150</v>
      </c>
      <c r="K277" s="17" t="str">
        <f t="shared" si="3"/>
        <v>200</v>
      </c>
      <c r="L277" s="18" t="str">
        <f t="shared" si="4"/>
        <v>601.4</v>
      </c>
      <c r="M277" s="17" t="str">
        <f t="shared" si="5"/>
        <v>8</v>
      </c>
    </row>
    <row r="278" ht="14.25" customHeight="1">
      <c r="A278" s="8">
        <v>8.0</v>
      </c>
      <c r="B278" s="8">
        <v>6.0</v>
      </c>
      <c r="C278" s="8">
        <v>0.0</v>
      </c>
      <c r="D278" s="8" t="s">
        <v>113</v>
      </c>
      <c r="E278" s="8">
        <v>6.0</v>
      </c>
      <c r="F278" s="8">
        <v>1.0</v>
      </c>
      <c r="G278" s="8">
        <v>7.0</v>
      </c>
      <c r="H278" s="8">
        <v>1.0</v>
      </c>
      <c r="I278" s="16" t="str">
        <f t="shared" si="1"/>
        <v>8-6</v>
      </c>
      <c r="J278" s="17" t="str">
        <f t="shared" si="2"/>
        <v>60</v>
      </c>
      <c r="K278" s="17" t="str">
        <f t="shared" si="3"/>
        <v>120</v>
      </c>
      <c r="L278" s="18" t="str">
        <f t="shared" si="4"/>
        <v>220.6</v>
      </c>
      <c r="M278" s="17" t="str">
        <f t="shared" si="5"/>
        <v>8</v>
      </c>
    </row>
    <row r="279" ht="14.25" customHeight="1">
      <c r="A279" s="8">
        <v>8.0</v>
      </c>
      <c r="B279" s="8">
        <v>7.0</v>
      </c>
      <c r="C279" s="8">
        <v>100.0</v>
      </c>
      <c r="D279" s="8" t="s">
        <v>120</v>
      </c>
      <c r="E279" s="8">
        <v>15.0</v>
      </c>
      <c r="F279" s="8">
        <v>1.0</v>
      </c>
      <c r="G279" s="8">
        <v>7.0</v>
      </c>
      <c r="H279" s="8">
        <v>0.0</v>
      </c>
      <c r="I279" s="16" t="str">
        <f t="shared" si="1"/>
        <v>8-7</v>
      </c>
      <c r="J279" s="17" t="str">
        <f t="shared" si="2"/>
        <v>225</v>
      </c>
      <c r="K279" s="17" t="str">
        <f t="shared" si="3"/>
        <v>300</v>
      </c>
      <c r="L279" s="18" t="str">
        <f t="shared" si="4"/>
        <v>902.1</v>
      </c>
      <c r="M279" s="17" t="str">
        <f t="shared" si="5"/>
        <v>8</v>
      </c>
    </row>
    <row r="280" ht="14.25" customHeight="1">
      <c r="A280" s="8">
        <v>8.0</v>
      </c>
      <c r="B280" s="8">
        <v>8.0</v>
      </c>
      <c r="C280" s="8">
        <v>0.0</v>
      </c>
      <c r="D280" s="8" t="s">
        <v>120</v>
      </c>
      <c r="E280" s="8">
        <v>10.0</v>
      </c>
      <c r="F280" s="8">
        <v>2.0</v>
      </c>
      <c r="G280" s="8">
        <v>4.0</v>
      </c>
      <c r="H280" s="8">
        <v>1.0</v>
      </c>
      <c r="I280" s="16" t="str">
        <f t="shared" si="1"/>
        <v>8-8</v>
      </c>
      <c r="J280" s="17" t="str">
        <f t="shared" si="2"/>
        <v>150</v>
      </c>
      <c r="K280" s="17" t="str">
        <f t="shared" si="3"/>
        <v>200</v>
      </c>
      <c r="L280" s="18" t="str">
        <f t="shared" si="4"/>
        <v>601.4</v>
      </c>
      <c r="M280" s="17" t="str">
        <f t="shared" si="5"/>
        <v>6</v>
      </c>
    </row>
    <row r="281" ht="14.25" customHeight="1">
      <c r="A281" s="8">
        <v>8.0</v>
      </c>
      <c r="B281" s="8">
        <v>8.0</v>
      </c>
      <c r="C281" s="8">
        <v>0.0</v>
      </c>
      <c r="D281" s="8" t="s">
        <v>115</v>
      </c>
      <c r="E281" s="8">
        <v>5.0</v>
      </c>
      <c r="F281" s="8">
        <v>1.0</v>
      </c>
      <c r="G281" s="8">
        <v>2.0</v>
      </c>
      <c r="H281" s="8">
        <v>1.0</v>
      </c>
      <c r="I281" s="16" t="str">
        <f t="shared" si="1"/>
        <v>8-8</v>
      </c>
      <c r="J281" s="17" t="str">
        <f t="shared" si="2"/>
        <v>90</v>
      </c>
      <c r="K281" s="17" t="str">
        <f t="shared" si="3"/>
        <v>150</v>
      </c>
      <c r="L281" s="18" t="str">
        <f t="shared" si="4"/>
        <v>320.6</v>
      </c>
      <c r="M281" s="17" t="str">
        <f t="shared" si="5"/>
        <v>3</v>
      </c>
    </row>
    <row r="282" ht="14.25" customHeight="1">
      <c r="A282" s="8">
        <v>8.0</v>
      </c>
      <c r="B282" s="8">
        <v>9.0</v>
      </c>
      <c r="C282" s="8">
        <v>100.0</v>
      </c>
      <c r="D282" s="8" t="s">
        <v>120</v>
      </c>
      <c r="E282" s="8">
        <v>20.0</v>
      </c>
      <c r="F282" s="8">
        <v>2.0</v>
      </c>
      <c r="G282" s="8">
        <v>10.0</v>
      </c>
      <c r="H282" s="8">
        <v>2.0</v>
      </c>
      <c r="I282" s="16" t="str">
        <f t="shared" si="1"/>
        <v>8-9</v>
      </c>
      <c r="J282" s="17" t="str">
        <f t="shared" si="2"/>
        <v>300</v>
      </c>
      <c r="K282" s="17" t="str">
        <f t="shared" si="3"/>
        <v>400</v>
      </c>
      <c r="L282" s="18" t="str">
        <f t="shared" si="4"/>
        <v>1202.8</v>
      </c>
      <c r="M282" s="17" t="str">
        <f t="shared" si="5"/>
        <v>12</v>
      </c>
    </row>
    <row r="283" ht="14.25" customHeight="1">
      <c r="A283" s="8">
        <v>8.0</v>
      </c>
      <c r="B283" s="8">
        <v>10.0</v>
      </c>
      <c r="C283" s="8">
        <v>100.0</v>
      </c>
      <c r="D283" s="8" t="s">
        <v>125</v>
      </c>
      <c r="E283" s="8">
        <v>1.0</v>
      </c>
      <c r="F283" s="8">
        <v>1.0</v>
      </c>
      <c r="G283" s="8">
        <v>1.0</v>
      </c>
      <c r="H283" s="8">
        <v>3.0</v>
      </c>
      <c r="I283" s="16" t="str">
        <f t="shared" si="1"/>
        <v>8-10</v>
      </c>
      <c r="J283" s="17" t="str">
        <f t="shared" si="2"/>
        <v>60</v>
      </c>
      <c r="K283" s="17" t="str">
        <f t="shared" si="3"/>
        <v>160</v>
      </c>
      <c r="L283" s="18" t="str">
        <f t="shared" si="4"/>
        <v>348.6</v>
      </c>
      <c r="M283" s="17" t="str">
        <f t="shared" si="5"/>
        <v>2</v>
      </c>
    </row>
    <row r="284" ht="14.25" customHeight="1">
      <c r="A284" s="8">
        <v>8.0</v>
      </c>
      <c r="B284" s="8">
        <v>10.0</v>
      </c>
      <c r="C284" s="8">
        <v>100.0</v>
      </c>
      <c r="D284" s="8" t="s">
        <v>120</v>
      </c>
      <c r="E284" s="8">
        <v>17.0</v>
      </c>
      <c r="F284" s="8">
        <v>1.0</v>
      </c>
      <c r="G284" s="8">
        <v>10.0</v>
      </c>
      <c r="H284" s="8">
        <v>3.0</v>
      </c>
      <c r="I284" s="16" t="str">
        <f t="shared" si="1"/>
        <v>8-10</v>
      </c>
      <c r="J284" s="17" t="str">
        <f t="shared" si="2"/>
        <v>255</v>
      </c>
      <c r="K284" s="17" t="str">
        <f t="shared" si="3"/>
        <v>340</v>
      </c>
      <c r="L284" s="18" t="str">
        <f t="shared" si="4"/>
        <v>1022.4</v>
      </c>
      <c r="M284" s="17" t="str">
        <f t="shared" si="5"/>
        <v>11</v>
      </c>
    </row>
    <row r="285" ht="14.25" customHeight="1">
      <c r="A285" s="8">
        <v>9.0</v>
      </c>
      <c r="B285" s="8">
        <v>1.0</v>
      </c>
      <c r="C285" s="8">
        <v>0.0</v>
      </c>
      <c r="D285" s="8" t="s">
        <v>113</v>
      </c>
      <c r="E285" s="8">
        <v>5.0</v>
      </c>
      <c r="F285" s="8">
        <v>0.0</v>
      </c>
      <c r="G285" s="8">
        <v>6.0</v>
      </c>
      <c r="H285" s="8">
        <v>0.0</v>
      </c>
      <c r="I285" s="16" t="str">
        <f t="shared" si="1"/>
        <v>9-1</v>
      </c>
      <c r="J285" s="17" t="str">
        <f t="shared" si="2"/>
        <v>50</v>
      </c>
      <c r="K285" s="17" t="str">
        <f t="shared" si="3"/>
        <v>100</v>
      </c>
      <c r="L285" s="18" t="str">
        <f t="shared" si="4"/>
        <v>183.9</v>
      </c>
      <c r="M285" s="17" t="str">
        <f t="shared" si="5"/>
        <v>6</v>
      </c>
    </row>
    <row r="286" ht="14.25" customHeight="1">
      <c r="A286" s="8">
        <v>9.0</v>
      </c>
      <c r="B286" s="8">
        <v>2.0</v>
      </c>
      <c r="C286" s="8">
        <v>0.0</v>
      </c>
      <c r="D286" s="8" t="s">
        <v>115</v>
      </c>
      <c r="E286" s="8">
        <v>6.0</v>
      </c>
      <c r="F286" s="8">
        <v>0.0</v>
      </c>
      <c r="G286" s="8">
        <v>4.0</v>
      </c>
      <c r="H286" s="8">
        <v>-1.0</v>
      </c>
      <c r="I286" s="16" t="str">
        <f t="shared" si="1"/>
        <v>9-2</v>
      </c>
      <c r="J286" s="17" t="str">
        <f t="shared" si="2"/>
        <v>108</v>
      </c>
      <c r="K286" s="17" t="str">
        <f t="shared" si="3"/>
        <v>180</v>
      </c>
      <c r="L286" s="18" t="str">
        <f t="shared" si="4"/>
        <v>384.7</v>
      </c>
      <c r="M286" s="17" t="str">
        <f t="shared" si="5"/>
        <v>4</v>
      </c>
    </row>
    <row r="287" ht="14.25" customHeight="1">
      <c r="A287" s="8">
        <v>9.0</v>
      </c>
      <c r="B287" s="8">
        <v>2.0</v>
      </c>
      <c r="C287" s="8">
        <v>0.0</v>
      </c>
      <c r="D287" s="8" t="s">
        <v>113</v>
      </c>
      <c r="E287" s="8">
        <v>10.0</v>
      </c>
      <c r="F287" s="8">
        <v>2.0</v>
      </c>
      <c r="G287" s="8">
        <v>3.0</v>
      </c>
      <c r="H287" s="8">
        <v>1.0</v>
      </c>
      <c r="I287" s="16" t="str">
        <f t="shared" si="1"/>
        <v>9-2</v>
      </c>
      <c r="J287" s="17" t="str">
        <f t="shared" si="2"/>
        <v>100</v>
      </c>
      <c r="K287" s="17" t="str">
        <f t="shared" si="3"/>
        <v>200</v>
      </c>
      <c r="L287" s="18" t="str">
        <f t="shared" si="4"/>
        <v>367.7</v>
      </c>
      <c r="M287" s="17" t="str">
        <f t="shared" si="5"/>
        <v>5</v>
      </c>
    </row>
    <row r="288" ht="14.25" customHeight="1">
      <c r="A288" s="8">
        <v>9.0</v>
      </c>
      <c r="B288" s="8">
        <v>3.0</v>
      </c>
      <c r="C288" s="8">
        <v>100.0</v>
      </c>
      <c r="D288" s="8" t="s">
        <v>117</v>
      </c>
      <c r="E288" s="8">
        <v>6.0</v>
      </c>
      <c r="F288" s="8">
        <v>0.0</v>
      </c>
      <c r="G288" s="8">
        <v>4.0</v>
      </c>
      <c r="H288" s="8">
        <v>-1.0</v>
      </c>
      <c r="I288" s="16" t="str">
        <f t="shared" si="1"/>
        <v>9-3</v>
      </c>
      <c r="J288" s="17" t="str">
        <f t="shared" si="2"/>
        <v>180</v>
      </c>
      <c r="K288" s="17" t="str">
        <f t="shared" si="3"/>
        <v>180</v>
      </c>
      <c r="L288" s="18" t="str">
        <f t="shared" si="4"/>
        <v>873.3</v>
      </c>
      <c r="M288" s="17" t="str">
        <f t="shared" si="5"/>
        <v>4</v>
      </c>
    </row>
    <row r="289" ht="14.25" customHeight="1">
      <c r="A289" s="8">
        <v>9.0</v>
      </c>
      <c r="B289" s="8">
        <v>3.0</v>
      </c>
      <c r="C289" s="8">
        <v>100.0</v>
      </c>
      <c r="D289" s="8" t="s">
        <v>123</v>
      </c>
      <c r="E289" s="8">
        <v>5.0</v>
      </c>
      <c r="F289" s="8">
        <v>2.0</v>
      </c>
      <c r="G289" s="8">
        <v>3.0</v>
      </c>
      <c r="H289" s="8">
        <v>0.0</v>
      </c>
      <c r="I289" s="16" t="str">
        <f t="shared" si="1"/>
        <v>9-3</v>
      </c>
      <c r="J289" s="17" t="str">
        <f t="shared" si="2"/>
        <v>70</v>
      </c>
      <c r="K289" s="17" t="str">
        <f t="shared" si="3"/>
        <v>50</v>
      </c>
      <c r="L289" s="18" t="str">
        <f t="shared" si="4"/>
        <v>111.8</v>
      </c>
      <c r="M289" s="17" t="str">
        <f t="shared" si="5"/>
        <v>5</v>
      </c>
    </row>
    <row r="290" ht="14.25" customHeight="1">
      <c r="A290" s="8">
        <v>9.0</v>
      </c>
      <c r="B290" s="8">
        <v>3.0</v>
      </c>
      <c r="C290" s="8">
        <v>100.0</v>
      </c>
      <c r="D290" s="8" t="s">
        <v>115</v>
      </c>
      <c r="E290" s="8">
        <v>4.0</v>
      </c>
      <c r="F290" s="8">
        <v>2.0</v>
      </c>
      <c r="G290" s="8">
        <v>3.0</v>
      </c>
      <c r="H290" s="8">
        <v>0.0</v>
      </c>
      <c r="I290" s="16" t="str">
        <f t="shared" si="1"/>
        <v>9-3</v>
      </c>
      <c r="J290" s="17" t="str">
        <f t="shared" si="2"/>
        <v>72</v>
      </c>
      <c r="K290" s="17" t="str">
        <f t="shared" si="3"/>
        <v>120</v>
      </c>
      <c r="L290" s="18" t="str">
        <f t="shared" si="4"/>
        <v>256.5</v>
      </c>
      <c r="M290" s="17" t="str">
        <f t="shared" si="5"/>
        <v>5</v>
      </c>
    </row>
    <row r="291" ht="14.25" customHeight="1">
      <c r="A291" s="8">
        <v>9.0</v>
      </c>
      <c r="B291" s="8">
        <v>4.0</v>
      </c>
      <c r="C291" s="8">
        <v>0.0</v>
      </c>
      <c r="D291" s="8" t="s">
        <v>113</v>
      </c>
      <c r="E291" s="8">
        <v>8.0</v>
      </c>
      <c r="F291" s="8">
        <v>0.0</v>
      </c>
      <c r="G291" s="8">
        <v>6.0</v>
      </c>
      <c r="H291" s="8">
        <v>1.0</v>
      </c>
      <c r="I291" s="16" t="str">
        <f t="shared" si="1"/>
        <v>9-4</v>
      </c>
      <c r="J291" s="17" t="str">
        <f t="shared" si="2"/>
        <v>80</v>
      </c>
      <c r="K291" s="17" t="str">
        <f t="shared" si="3"/>
        <v>160</v>
      </c>
      <c r="L291" s="18" t="str">
        <f t="shared" si="4"/>
        <v>294.2</v>
      </c>
      <c r="M291" s="17" t="str">
        <f t="shared" si="5"/>
        <v>6</v>
      </c>
    </row>
    <row r="292" ht="14.25" customHeight="1">
      <c r="A292" s="8">
        <v>9.0</v>
      </c>
      <c r="B292" s="8">
        <v>4.0</v>
      </c>
      <c r="C292" s="8">
        <v>0.0</v>
      </c>
      <c r="D292" s="8" t="s">
        <v>115</v>
      </c>
      <c r="E292" s="8">
        <v>3.0</v>
      </c>
      <c r="F292" s="8">
        <v>0.0</v>
      </c>
      <c r="G292" s="8">
        <v>3.0</v>
      </c>
      <c r="H292" s="8">
        <v>1.0</v>
      </c>
      <c r="I292" s="16" t="str">
        <f t="shared" si="1"/>
        <v>9-4</v>
      </c>
      <c r="J292" s="17" t="str">
        <f t="shared" si="2"/>
        <v>54</v>
      </c>
      <c r="K292" s="17" t="str">
        <f t="shared" si="3"/>
        <v>90</v>
      </c>
      <c r="L292" s="18" t="str">
        <f t="shared" si="4"/>
        <v>192.4</v>
      </c>
      <c r="M292" s="17" t="str">
        <f t="shared" si="5"/>
        <v>3</v>
      </c>
    </row>
    <row r="293" ht="14.25" customHeight="1">
      <c r="A293" s="8">
        <v>9.0</v>
      </c>
      <c r="B293" s="8">
        <v>5.0</v>
      </c>
      <c r="C293" s="8">
        <v>100.0</v>
      </c>
      <c r="D293" s="8" t="s">
        <v>123</v>
      </c>
      <c r="E293" s="8">
        <v>4.0</v>
      </c>
      <c r="F293" s="8">
        <v>0.0</v>
      </c>
      <c r="G293" s="8">
        <v>3.0</v>
      </c>
      <c r="H293" s="8">
        <v>0.0</v>
      </c>
      <c r="I293" s="16" t="str">
        <f t="shared" si="1"/>
        <v>9-5</v>
      </c>
      <c r="J293" s="17" t="str">
        <f t="shared" si="2"/>
        <v>56</v>
      </c>
      <c r="K293" s="17" t="str">
        <f t="shared" si="3"/>
        <v>40</v>
      </c>
      <c r="L293" s="18" t="str">
        <f t="shared" si="4"/>
        <v>89.4</v>
      </c>
      <c r="M293" s="17" t="str">
        <f t="shared" si="5"/>
        <v>3</v>
      </c>
    </row>
    <row r="294" ht="14.25" customHeight="1">
      <c r="A294" s="8">
        <v>9.0</v>
      </c>
      <c r="B294" s="8">
        <v>5.0</v>
      </c>
      <c r="C294" s="8">
        <v>100.0</v>
      </c>
      <c r="D294" s="8" t="s">
        <v>113</v>
      </c>
      <c r="E294" s="8">
        <v>8.0</v>
      </c>
      <c r="F294" s="8">
        <v>0.0</v>
      </c>
      <c r="G294" s="8">
        <v>6.0</v>
      </c>
      <c r="H294" s="8">
        <v>0.0</v>
      </c>
      <c r="I294" s="16" t="str">
        <f t="shared" si="1"/>
        <v>9-5</v>
      </c>
      <c r="J294" s="17" t="str">
        <f t="shared" si="2"/>
        <v>80</v>
      </c>
      <c r="K294" s="17" t="str">
        <f t="shared" si="3"/>
        <v>160</v>
      </c>
      <c r="L294" s="18" t="str">
        <f t="shared" si="4"/>
        <v>294.2</v>
      </c>
      <c r="M294" s="17" t="str">
        <f t="shared" si="5"/>
        <v>6</v>
      </c>
    </row>
    <row r="295" ht="14.25" customHeight="1">
      <c r="A295" s="8">
        <v>9.0</v>
      </c>
      <c r="B295" s="8">
        <v>6.0</v>
      </c>
      <c r="C295" s="8">
        <v>500.0</v>
      </c>
      <c r="D295" s="8" t="s">
        <v>115</v>
      </c>
      <c r="E295" s="8">
        <v>8.0</v>
      </c>
      <c r="F295" s="8">
        <v>0.0</v>
      </c>
      <c r="G295" s="8">
        <v>7.0</v>
      </c>
      <c r="H295" s="8">
        <v>1.0</v>
      </c>
      <c r="I295" s="16" t="str">
        <f t="shared" si="1"/>
        <v>9-6</v>
      </c>
      <c r="J295" s="17" t="str">
        <f t="shared" si="2"/>
        <v>144</v>
      </c>
      <c r="K295" s="17" t="str">
        <f t="shared" si="3"/>
        <v>240</v>
      </c>
      <c r="L295" s="18" t="str">
        <f t="shared" si="4"/>
        <v>512.9</v>
      </c>
      <c r="M295" s="17" t="str">
        <f t="shared" si="5"/>
        <v>7</v>
      </c>
    </row>
    <row r="296" ht="14.25" customHeight="1">
      <c r="A296" s="8">
        <v>9.0</v>
      </c>
      <c r="B296" s="8">
        <v>7.0</v>
      </c>
      <c r="C296" s="8">
        <v>0.0</v>
      </c>
      <c r="D296" s="8" t="s">
        <v>113</v>
      </c>
      <c r="E296" s="8">
        <v>25.0</v>
      </c>
      <c r="F296" s="8">
        <v>2.0</v>
      </c>
      <c r="G296" s="8">
        <v>15.0</v>
      </c>
      <c r="H296" s="8">
        <v>0.0</v>
      </c>
      <c r="I296" s="16" t="str">
        <f t="shared" si="1"/>
        <v>9-7</v>
      </c>
      <c r="J296" s="17" t="str">
        <f t="shared" si="2"/>
        <v>250</v>
      </c>
      <c r="K296" s="17" t="str">
        <f t="shared" si="3"/>
        <v>500</v>
      </c>
      <c r="L296" s="18" t="str">
        <f t="shared" si="4"/>
        <v>919.4</v>
      </c>
      <c r="M296" s="17" t="str">
        <f t="shared" si="5"/>
        <v>17</v>
      </c>
    </row>
    <row r="297" ht="14.25" customHeight="1">
      <c r="A297" s="8">
        <v>10.0</v>
      </c>
      <c r="B297" s="8">
        <v>1.0</v>
      </c>
      <c r="C297" s="19">
        <v>300.0</v>
      </c>
      <c r="D297" s="8" t="s">
        <v>113</v>
      </c>
      <c r="E297" s="8">
        <v>4.0</v>
      </c>
      <c r="F297" s="8">
        <v>0.0</v>
      </c>
      <c r="G297" s="8">
        <v>3.0</v>
      </c>
      <c r="H297" s="8">
        <v>1.0</v>
      </c>
      <c r="I297" s="16" t="str">
        <f t="shared" si="1"/>
        <v>10-1</v>
      </c>
      <c r="J297" s="17" t="str">
        <f t="shared" si="2"/>
        <v>40</v>
      </c>
      <c r="K297" s="17" t="str">
        <f t="shared" si="3"/>
        <v>80</v>
      </c>
      <c r="L297" s="18" t="str">
        <f t="shared" si="4"/>
        <v>147.1</v>
      </c>
      <c r="M297" s="17" t="str">
        <f t="shared" si="5"/>
        <v>3</v>
      </c>
    </row>
    <row r="298" ht="14.25" customHeight="1">
      <c r="A298" s="8">
        <v>10.0</v>
      </c>
      <c r="B298" s="8">
        <v>1.0</v>
      </c>
      <c r="C298" s="8">
        <v>0.0</v>
      </c>
      <c r="D298" s="8" t="s">
        <v>115</v>
      </c>
      <c r="E298" s="8">
        <v>2.0</v>
      </c>
      <c r="F298" s="8">
        <v>1.0</v>
      </c>
      <c r="G298" s="8">
        <v>3.0</v>
      </c>
      <c r="H298" s="8">
        <v>1.0</v>
      </c>
      <c r="I298" s="16" t="str">
        <f t="shared" si="1"/>
        <v>10-1</v>
      </c>
      <c r="J298" s="17" t="str">
        <f t="shared" si="2"/>
        <v>36</v>
      </c>
      <c r="K298" s="17" t="str">
        <f t="shared" si="3"/>
        <v>60</v>
      </c>
      <c r="L298" s="18" t="str">
        <f t="shared" si="4"/>
        <v>128.2</v>
      </c>
      <c r="M298" s="17" t="str">
        <f t="shared" si="5"/>
        <v>4</v>
      </c>
    </row>
    <row r="299" ht="14.25" customHeight="1">
      <c r="A299" s="8">
        <v>10.0</v>
      </c>
      <c r="B299" s="8">
        <v>1.0</v>
      </c>
      <c r="C299" s="8">
        <v>0.0</v>
      </c>
      <c r="D299" s="8" t="s">
        <v>120</v>
      </c>
      <c r="E299" s="8">
        <v>3.0</v>
      </c>
      <c r="F299" s="8">
        <v>3.0</v>
      </c>
      <c r="G299" s="8">
        <v>3.0</v>
      </c>
      <c r="H299" s="8">
        <v>1.0</v>
      </c>
      <c r="I299" s="16" t="str">
        <f t="shared" si="1"/>
        <v>10-1</v>
      </c>
      <c r="J299" s="17" t="str">
        <f t="shared" si="2"/>
        <v>45</v>
      </c>
      <c r="K299" s="17" t="str">
        <f t="shared" si="3"/>
        <v>60</v>
      </c>
      <c r="L299" s="18" t="str">
        <f t="shared" si="4"/>
        <v>180.4</v>
      </c>
      <c r="M299" s="17" t="str">
        <f t="shared" si="5"/>
        <v>6</v>
      </c>
    </row>
    <row r="300" ht="14.25" customHeight="1">
      <c r="A300" s="8">
        <v>10.0</v>
      </c>
      <c r="B300" s="8">
        <v>2.0</v>
      </c>
      <c r="C300" s="8">
        <v>0.0</v>
      </c>
      <c r="D300" s="8" t="s">
        <v>115</v>
      </c>
      <c r="E300" s="8">
        <v>6.0</v>
      </c>
      <c r="F300" s="8">
        <v>0.0</v>
      </c>
      <c r="G300" s="8">
        <v>4.0</v>
      </c>
      <c r="H300" s="8">
        <v>1.0</v>
      </c>
      <c r="I300" s="16" t="str">
        <f t="shared" si="1"/>
        <v>10-2</v>
      </c>
      <c r="J300" s="17" t="str">
        <f t="shared" si="2"/>
        <v>108</v>
      </c>
      <c r="K300" s="17" t="str">
        <f t="shared" si="3"/>
        <v>180</v>
      </c>
      <c r="L300" s="18" t="str">
        <f t="shared" si="4"/>
        <v>384.7</v>
      </c>
      <c r="M300" s="17" t="str">
        <f t="shared" si="5"/>
        <v>4</v>
      </c>
    </row>
    <row r="301" ht="14.25" customHeight="1">
      <c r="A301" s="8">
        <v>10.0</v>
      </c>
      <c r="B301" s="8">
        <v>2.0</v>
      </c>
      <c r="C301" s="8">
        <v>0.0</v>
      </c>
      <c r="D301" s="8" t="s">
        <v>113</v>
      </c>
      <c r="E301" s="8">
        <v>5.0</v>
      </c>
      <c r="F301" s="8">
        <v>3.0</v>
      </c>
      <c r="G301" s="8">
        <v>2.0</v>
      </c>
      <c r="H301" s="8">
        <v>1.0</v>
      </c>
      <c r="I301" s="16" t="str">
        <f t="shared" si="1"/>
        <v>10-2</v>
      </c>
      <c r="J301" s="17" t="str">
        <f t="shared" si="2"/>
        <v>50</v>
      </c>
      <c r="K301" s="17" t="str">
        <f t="shared" si="3"/>
        <v>100</v>
      </c>
      <c r="L301" s="18" t="str">
        <f t="shared" si="4"/>
        <v>183.9</v>
      </c>
      <c r="M301" s="17" t="str">
        <f t="shared" si="5"/>
        <v>5</v>
      </c>
    </row>
    <row r="302" ht="14.25" customHeight="1">
      <c r="A302" s="8">
        <v>10.0</v>
      </c>
      <c r="B302" s="8">
        <v>2.0</v>
      </c>
      <c r="C302" s="8">
        <v>0.0</v>
      </c>
      <c r="D302" s="8" t="s">
        <v>117</v>
      </c>
      <c r="E302" s="8">
        <v>4.0</v>
      </c>
      <c r="F302" s="8">
        <v>3.0</v>
      </c>
      <c r="G302" s="8">
        <v>3.0</v>
      </c>
      <c r="H302" s="8">
        <v>1.0</v>
      </c>
      <c r="I302" s="16" t="str">
        <f t="shared" si="1"/>
        <v>10-2</v>
      </c>
      <c r="J302" s="17" t="str">
        <f t="shared" si="2"/>
        <v>120</v>
      </c>
      <c r="K302" s="17" t="str">
        <f t="shared" si="3"/>
        <v>120</v>
      </c>
      <c r="L302" s="18" t="str">
        <f t="shared" si="4"/>
        <v>582.2</v>
      </c>
      <c r="M302" s="17" t="str">
        <f t="shared" si="5"/>
        <v>6</v>
      </c>
    </row>
    <row r="303" ht="14.25" customHeight="1">
      <c r="A303" s="8">
        <v>10.0</v>
      </c>
      <c r="B303" s="8">
        <v>3.0</v>
      </c>
      <c r="C303" s="8">
        <v>100.0</v>
      </c>
      <c r="D303" s="8" t="s">
        <v>117</v>
      </c>
      <c r="E303" s="8">
        <v>6.0</v>
      </c>
      <c r="F303" s="8">
        <v>0.0</v>
      </c>
      <c r="G303" s="8">
        <v>4.0</v>
      </c>
      <c r="H303" s="8">
        <v>0.0</v>
      </c>
      <c r="I303" s="16" t="str">
        <f t="shared" si="1"/>
        <v>10-3</v>
      </c>
      <c r="J303" s="17" t="str">
        <f t="shared" si="2"/>
        <v>180</v>
      </c>
      <c r="K303" s="17" t="str">
        <f t="shared" si="3"/>
        <v>180</v>
      </c>
      <c r="L303" s="18" t="str">
        <f t="shared" si="4"/>
        <v>873.3</v>
      </c>
      <c r="M303" s="17" t="str">
        <f t="shared" si="5"/>
        <v>4</v>
      </c>
    </row>
    <row r="304" ht="14.25" customHeight="1">
      <c r="A304" s="8">
        <v>10.0</v>
      </c>
      <c r="B304" s="8">
        <v>3.0</v>
      </c>
      <c r="C304" s="8">
        <v>100.0</v>
      </c>
      <c r="D304" s="8" t="s">
        <v>113</v>
      </c>
      <c r="E304" s="8">
        <v>4.0</v>
      </c>
      <c r="F304" s="8">
        <v>2.0</v>
      </c>
      <c r="G304" s="8">
        <v>3.0</v>
      </c>
      <c r="H304" s="8">
        <v>1.0</v>
      </c>
      <c r="I304" s="16" t="str">
        <f t="shared" si="1"/>
        <v>10-3</v>
      </c>
      <c r="J304" s="17" t="str">
        <f t="shared" si="2"/>
        <v>40</v>
      </c>
      <c r="K304" s="17" t="str">
        <f t="shared" si="3"/>
        <v>80</v>
      </c>
      <c r="L304" s="18" t="str">
        <f t="shared" si="4"/>
        <v>147.1</v>
      </c>
      <c r="M304" s="17" t="str">
        <f t="shared" si="5"/>
        <v>5</v>
      </c>
    </row>
    <row r="305" ht="14.25" customHeight="1">
      <c r="A305" s="8">
        <v>10.0</v>
      </c>
      <c r="B305" s="8">
        <v>3.0</v>
      </c>
      <c r="C305" s="8">
        <v>100.0</v>
      </c>
      <c r="D305" s="8" t="s">
        <v>117</v>
      </c>
      <c r="E305" s="8">
        <v>4.0</v>
      </c>
      <c r="F305" s="8">
        <v>3.0</v>
      </c>
      <c r="G305" s="8">
        <v>3.0</v>
      </c>
      <c r="H305" s="8">
        <v>1.0</v>
      </c>
      <c r="I305" s="16" t="str">
        <f t="shared" si="1"/>
        <v>10-3</v>
      </c>
      <c r="J305" s="17" t="str">
        <f t="shared" si="2"/>
        <v>120</v>
      </c>
      <c r="K305" s="17" t="str">
        <f t="shared" si="3"/>
        <v>120</v>
      </c>
      <c r="L305" s="18" t="str">
        <f t="shared" si="4"/>
        <v>582.2</v>
      </c>
      <c r="M305" s="17" t="str">
        <f t="shared" si="5"/>
        <v>6</v>
      </c>
    </row>
    <row r="306" ht="14.25" customHeight="1">
      <c r="A306" s="8">
        <v>10.0</v>
      </c>
      <c r="B306" s="8">
        <v>4.0</v>
      </c>
      <c r="C306" s="8">
        <v>100.0</v>
      </c>
      <c r="D306" s="8" t="s">
        <v>113</v>
      </c>
      <c r="E306" s="8">
        <v>8.0</v>
      </c>
      <c r="F306" s="8">
        <v>0.0</v>
      </c>
      <c r="G306" s="8">
        <v>6.0</v>
      </c>
      <c r="H306" s="8">
        <v>1.0</v>
      </c>
      <c r="I306" s="16" t="str">
        <f t="shared" si="1"/>
        <v>10-4</v>
      </c>
      <c r="J306" s="17" t="str">
        <f t="shared" si="2"/>
        <v>80</v>
      </c>
      <c r="K306" s="17" t="str">
        <f t="shared" si="3"/>
        <v>160</v>
      </c>
      <c r="L306" s="18" t="str">
        <f t="shared" si="4"/>
        <v>294.2</v>
      </c>
      <c r="M306" s="17" t="str">
        <f t="shared" si="5"/>
        <v>6</v>
      </c>
    </row>
    <row r="307" ht="14.25" customHeight="1">
      <c r="A307" s="8">
        <v>10.0</v>
      </c>
      <c r="B307" s="8">
        <v>4.0</v>
      </c>
      <c r="C307" s="8">
        <v>100.0</v>
      </c>
      <c r="D307" s="8" t="s">
        <v>117</v>
      </c>
      <c r="E307" s="8">
        <v>4.0</v>
      </c>
      <c r="F307" s="8">
        <v>3.0</v>
      </c>
      <c r="G307" s="8">
        <v>3.0</v>
      </c>
      <c r="H307" s="8">
        <v>1.0</v>
      </c>
      <c r="I307" s="16" t="str">
        <f t="shared" si="1"/>
        <v>10-4</v>
      </c>
      <c r="J307" s="17" t="str">
        <f t="shared" si="2"/>
        <v>120</v>
      </c>
      <c r="K307" s="17" t="str">
        <f t="shared" si="3"/>
        <v>120</v>
      </c>
      <c r="L307" s="18" t="str">
        <f t="shared" si="4"/>
        <v>582.2</v>
      </c>
      <c r="M307" s="17" t="str">
        <f t="shared" si="5"/>
        <v>6</v>
      </c>
    </row>
    <row r="308" ht="14.25" customHeight="1">
      <c r="A308" s="8">
        <v>10.0</v>
      </c>
      <c r="B308" s="8">
        <v>4.0</v>
      </c>
      <c r="C308" s="8">
        <v>100.0</v>
      </c>
      <c r="D308" s="8" t="s">
        <v>120</v>
      </c>
      <c r="E308" s="8">
        <v>4.0</v>
      </c>
      <c r="F308" s="8">
        <v>3.0</v>
      </c>
      <c r="G308" s="8">
        <v>3.0</v>
      </c>
      <c r="H308" s="8">
        <v>1.0</v>
      </c>
      <c r="I308" s="16" t="str">
        <f t="shared" si="1"/>
        <v>10-4</v>
      </c>
      <c r="J308" s="17" t="str">
        <f t="shared" si="2"/>
        <v>60</v>
      </c>
      <c r="K308" s="17" t="str">
        <f t="shared" si="3"/>
        <v>80</v>
      </c>
      <c r="L308" s="18" t="str">
        <f t="shared" si="4"/>
        <v>240.6</v>
      </c>
      <c r="M308" s="17" t="str">
        <f t="shared" si="5"/>
        <v>6</v>
      </c>
    </row>
    <row r="309" ht="14.25" customHeight="1">
      <c r="A309" s="8">
        <v>10.0</v>
      </c>
      <c r="B309" s="8">
        <v>4.0</v>
      </c>
      <c r="C309" s="8">
        <v>100.0</v>
      </c>
      <c r="D309" s="8" t="s">
        <v>123</v>
      </c>
      <c r="E309" s="8">
        <v>1.0</v>
      </c>
      <c r="F309" s="8">
        <v>1.0</v>
      </c>
      <c r="G309" s="8">
        <v>1.0</v>
      </c>
      <c r="H309" s="8">
        <v>1.0</v>
      </c>
      <c r="I309" s="16" t="str">
        <f t="shared" si="1"/>
        <v>10-4</v>
      </c>
      <c r="J309" s="17" t="str">
        <f t="shared" si="2"/>
        <v>14</v>
      </c>
      <c r="K309" s="17" t="str">
        <f t="shared" si="3"/>
        <v>10</v>
      </c>
      <c r="L309" s="18" t="str">
        <f t="shared" si="4"/>
        <v>22.4</v>
      </c>
      <c r="M309" s="17" t="str">
        <f t="shared" si="5"/>
        <v>2</v>
      </c>
    </row>
    <row r="310" ht="14.25" customHeight="1">
      <c r="A310" s="8">
        <v>10.0</v>
      </c>
      <c r="B310" s="8">
        <v>5.0</v>
      </c>
      <c r="C310" s="8">
        <v>100.0</v>
      </c>
      <c r="D310" s="8" t="s">
        <v>125</v>
      </c>
      <c r="E310" s="8">
        <v>2.0</v>
      </c>
      <c r="F310" s="8">
        <v>1.0</v>
      </c>
      <c r="G310" s="8">
        <v>5.0</v>
      </c>
      <c r="H310" s="8">
        <v>1.0</v>
      </c>
      <c r="I310" s="16" t="str">
        <f t="shared" si="1"/>
        <v>10-5</v>
      </c>
      <c r="J310" s="17" t="str">
        <f t="shared" si="2"/>
        <v>120</v>
      </c>
      <c r="K310" s="17" t="str">
        <f t="shared" si="3"/>
        <v>320</v>
      </c>
      <c r="L310" s="18" t="str">
        <f t="shared" si="4"/>
        <v>697.2</v>
      </c>
      <c r="M310" s="17" t="str">
        <f t="shared" si="5"/>
        <v>6</v>
      </c>
    </row>
    <row r="311" ht="14.25" customHeight="1">
      <c r="A311" s="8">
        <v>10.0</v>
      </c>
      <c r="B311" s="8">
        <v>5.0</v>
      </c>
      <c r="C311" s="8">
        <v>100.0</v>
      </c>
      <c r="D311" s="8" t="s">
        <v>113</v>
      </c>
      <c r="E311" s="8">
        <v>10.0</v>
      </c>
      <c r="F311" s="8">
        <v>0.0</v>
      </c>
      <c r="G311" s="8">
        <v>8.0</v>
      </c>
      <c r="H311" s="8">
        <v>1.0</v>
      </c>
      <c r="I311" s="16" t="str">
        <f t="shared" si="1"/>
        <v>10-5</v>
      </c>
      <c r="J311" s="17" t="str">
        <f t="shared" si="2"/>
        <v>100</v>
      </c>
      <c r="K311" s="17" t="str">
        <f t="shared" si="3"/>
        <v>200</v>
      </c>
      <c r="L311" s="18" t="str">
        <f t="shared" si="4"/>
        <v>367.7</v>
      </c>
      <c r="M311" s="17" t="str">
        <f t="shared" si="5"/>
        <v>8</v>
      </c>
    </row>
    <row r="312" ht="14.25" customHeight="1">
      <c r="A312" s="8">
        <v>10.0</v>
      </c>
      <c r="B312" s="8">
        <v>6.0</v>
      </c>
      <c r="C312" s="8">
        <v>100.0</v>
      </c>
      <c r="D312" s="8" t="s">
        <v>113</v>
      </c>
      <c r="E312" s="8">
        <v>8.0</v>
      </c>
      <c r="F312" s="8">
        <v>0.0</v>
      </c>
      <c r="G312" s="8">
        <v>7.0</v>
      </c>
      <c r="H312" s="8">
        <v>1.0</v>
      </c>
      <c r="I312" s="16" t="str">
        <f t="shared" si="1"/>
        <v>10-6</v>
      </c>
      <c r="J312" s="17" t="str">
        <f t="shared" si="2"/>
        <v>80</v>
      </c>
      <c r="K312" s="17" t="str">
        <f t="shared" si="3"/>
        <v>160</v>
      </c>
      <c r="L312" s="18" t="str">
        <f t="shared" si="4"/>
        <v>294.2</v>
      </c>
      <c r="M312" s="17" t="str">
        <f t="shared" si="5"/>
        <v>7</v>
      </c>
    </row>
    <row r="313" ht="14.25" customHeight="1">
      <c r="A313" s="8">
        <v>10.0</v>
      </c>
      <c r="B313" s="8">
        <v>6.0</v>
      </c>
      <c r="C313" s="8">
        <v>100.0</v>
      </c>
      <c r="D313" s="8" t="s">
        <v>127</v>
      </c>
      <c r="E313" s="8">
        <v>1.0</v>
      </c>
      <c r="F313" s="8">
        <v>0.0</v>
      </c>
      <c r="G313" s="8">
        <v>1.0</v>
      </c>
      <c r="H313" s="8">
        <v>0.0</v>
      </c>
      <c r="I313" s="16" t="str">
        <f t="shared" si="1"/>
        <v>10-6</v>
      </c>
      <c r="J313" s="17" t="str">
        <f t="shared" si="2"/>
        <v>180</v>
      </c>
      <c r="K313" s="17" t="str">
        <f t="shared" si="3"/>
        <v>600</v>
      </c>
      <c r="L313" s="18" t="str">
        <f t="shared" si="4"/>
        <v>409.6</v>
      </c>
      <c r="M313" s="17" t="str">
        <f t="shared" si="5"/>
        <v>1</v>
      </c>
    </row>
    <row r="314" ht="14.25" customHeight="1">
      <c r="A314" s="8">
        <v>10.0</v>
      </c>
      <c r="B314" s="8">
        <v>7.0</v>
      </c>
      <c r="C314" s="8">
        <v>100.0</v>
      </c>
      <c r="D314" s="8" t="s">
        <v>113</v>
      </c>
      <c r="E314" s="8">
        <v>9.0</v>
      </c>
      <c r="F314" s="8">
        <v>0.0</v>
      </c>
      <c r="G314" s="8">
        <v>8.0</v>
      </c>
      <c r="H314" s="8">
        <v>1.0</v>
      </c>
      <c r="I314" s="16" t="str">
        <f t="shared" si="1"/>
        <v>10-7</v>
      </c>
      <c r="J314" s="17" t="str">
        <f t="shared" si="2"/>
        <v>90</v>
      </c>
      <c r="K314" s="17" t="str">
        <f t="shared" si="3"/>
        <v>180</v>
      </c>
      <c r="L314" s="18" t="str">
        <f t="shared" si="4"/>
        <v>331.0</v>
      </c>
      <c r="M314" s="17" t="str">
        <f t="shared" si="5"/>
        <v>8</v>
      </c>
    </row>
    <row r="315" ht="14.25" customHeight="1">
      <c r="A315" s="8">
        <v>10.0</v>
      </c>
      <c r="B315" s="8">
        <v>7.0</v>
      </c>
      <c r="C315" s="8">
        <v>100.0</v>
      </c>
      <c r="D315" s="8" t="s">
        <v>115</v>
      </c>
      <c r="E315" s="8">
        <v>8.0</v>
      </c>
      <c r="F315" s="8">
        <v>5.0</v>
      </c>
      <c r="G315" s="8">
        <v>5.0</v>
      </c>
      <c r="H315" s="8">
        <v>1.0</v>
      </c>
      <c r="I315" s="16" t="str">
        <f t="shared" si="1"/>
        <v>10-7</v>
      </c>
      <c r="J315" s="17" t="str">
        <f t="shared" si="2"/>
        <v>144</v>
      </c>
      <c r="K315" s="17" t="str">
        <f t="shared" si="3"/>
        <v>240</v>
      </c>
      <c r="L315" s="18" t="str">
        <f t="shared" si="4"/>
        <v>512.9</v>
      </c>
      <c r="M315" s="17" t="str">
        <f t="shared" si="5"/>
        <v>10</v>
      </c>
    </row>
    <row r="316" ht="14.25" customHeight="1">
      <c r="A316" s="8">
        <v>10.0</v>
      </c>
      <c r="B316" s="8">
        <v>8.0</v>
      </c>
      <c r="C316" s="8">
        <v>0.0</v>
      </c>
      <c r="D316" s="8" t="s">
        <v>113</v>
      </c>
      <c r="E316" s="8">
        <v>10.0</v>
      </c>
      <c r="F316" s="8">
        <v>7.0</v>
      </c>
      <c r="G316" s="8">
        <v>6.0</v>
      </c>
      <c r="H316" s="8">
        <v>1.0</v>
      </c>
      <c r="I316" s="16" t="str">
        <f t="shared" si="1"/>
        <v>10-8</v>
      </c>
      <c r="J316" s="17" t="str">
        <f t="shared" si="2"/>
        <v>100</v>
      </c>
      <c r="K316" s="17" t="str">
        <f t="shared" si="3"/>
        <v>200</v>
      </c>
      <c r="L316" s="18" t="str">
        <f t="shared" si="4"/>
        <v>367.7</v>
      </c>
      <c r="M316" s="17" t="str">
        <f t="shared" si="5"/>
        <v>13</v>
      </c>
    </row>
    <row r="317" ht="14.25" customHeight="1">
      <c r="A317" s="8">
        <v>10.0</v>
      </c>
      <c r="B317" s="8">
        <v>8.0</v>
      </c>
      <c r="C317" s="8">
        <v>0.0</v>
      </c>
      <c r="D317" s="8" t="s">
        <v>123</v>
      </c>
      <c r="E317" s="8">
        <v>9.0</v>
      </c>
      <c r="F317" s="8">
        <v>6.0</v>
      </c>
      <c r="G317" s="8">
        <v>5.0</v>
      </c>
      <c r="H317" s="8">
        <v>1.0</v>
      </c>
      <c r="I317" s="16" t="str">
        <f t="shared" si="1"/>
        <v>10-8</v>
      </c>
      <c r="J317" s="17" t="str">
        <f t="shared" si="2"/>
        <v>126</v>
      </c>
      <c r="K317" s="17" t="str">
        <f t="shared" si="3"/>
        <v>90</v>
      </c>
      <c r="L317" s="18" t="str">
        <f t="shared" si="4"/>
        <v>201.2</v>
      </c>
      <c r="M317" s="17" t="str">
        <f t="shared" si="5"/>
        <v>11</v>
      </c>
    </row>
    <row r="318" ht="14.25" customHeight="1">
      <c r="A318" s="8">
        <v>10.0</v>
      </c>
      <c r="B318" s="8">
        <v>9.0</v>
      </c>
      <c r="C318" s="8">
        <v>0.0</v>
      </c>
      <c r="D318" s="8" t="s">
        <v>113</v>
      </c>
      <c r="E318" s="8">
        <v>10.0</v>
      </c>
      <c r="F318" s="8">
        <v>1.0</v>
      </c>
      <c r="G318" s="8">
        <v>6.0</v>
      </c>
      <c r="H318" s="8">
        <v>1.0</v>
      </c>
      <c r="I318" s="16" t="str">
        <f t="shared" si="1"/>
        <v>10-9</v>
      </c>
      <c r="J318" s="17" t="str">
        <f t="shared" si="2"/>
        <v>100</v>
      </c>
      <c r="K318" s="17" t="str">
        <f t="shared" si="3"/>
        <v>200</v>
      </c>
      <c r="L318" s="18" t="str">
        <f t="shared" si="4"/>
        <v>367.7</v>
      </c>
      <c r="M318" s="17" t="str">
        <f t="shared" si="5"/>
        <v>7</v>
      </c>
    </row>
    <row r="319" ht="14.25" customHeight="1">
      <c r="A319" s="8">
        <v>10.0</v>
      </c>
      <c r="B319" s="8">
        <v>9.0</v>
      </c>
      <c r="C319" s="8">
        <v>0.0</v>
      </c>
      <c r="D319" s="8" t="s">
        <v>123</v>
      </c>
      <c r="E319" s="8">
        <v>3.0</v>
      </c>
      <c r="F319" s="8">
        <v>2.0</v>
      </c>
      <c r="G319" s="8">
        <v>6.0</v>
      </c>
      <c r="H319" s="8">
        <v>1.0</v>
      </c>
      <c r="I319" s="16" t="str">
        <f t="shared" si="1"/>
        <v>10-9</v>
      </c>
      <c r="J319" s="17" t="str">
        <f t="shared" si="2"/>
        <v>42</v>
      </c>
      <c r="K319" s="17" t="str">
        <f t="shared" si="3"/>
        <v>30</v>
      </c>
      <c r="L319" s="18" t="str">
        <f t="shared" si="4"/>
        <v>67.1</v>
      </c>
      <c r="M319" s="17" t="str">
        <f t="shared" si="5"/>
        <v>8</v>
      </c>
    </row>
    <row r="320" ht="14.25" customHeight="1">
      <c r="A320" s="8">
        <v>10.0</v>
      </c>
      <c r="B320" s="8">
        <v>9.0</v>
      </c>
      <c r="C320" s="8">
        <v>0.0</v>
      </c>
      <c r="D320" s="8" t="s">
        <v>117</v>
      </c>
      <c r="E320" s="8">
        <v>3.0</v>
      </c>
      <c r="F320" s="8">
        <v>1.0</v>
      </c>
      <c r="G320" s="8">
        <v>2.0</v>
      </c>
      <c r="H320" s="8">
        <v>1.0</v>
      </c>
      <c r="I320" s="16" t="str">
        <f t="shared" si="1"/>
        <v>10-9</v>
      </c>
      <c r="J320" s="17" t="str">
        <f t="shared" si="2"/>
        <v>90</v>
      </c>
      <c r="K320" s="17" t="str">
        <f t="shared" si="3"/>
        <v>90</v>
      </c>
      <c r="L320" s="18" t="str">
        <f t="shared" si="4"/>
        <v>436.7</v>
      </c>
      <c r="M320" s="17" t="str">
        <f t="shared" si="5"/>
        <v>3</v>
      </c>
    </row>
    <row r="321" ht="14.25" customHeight="1">
      <c r="A321" s="8">
        <v>10.0</v>
      </c>
      <c r="B321" s="8">
        <v>9.0</v>
      </c>
      <c r="C321" s="8">
        <v>0.0</v>
      </c>
      <c r="D321" s="8" t="s">
        <v>115</v>
      </c>
      <c r="E321" s="8">
        <v>3.0</v>
      </c>
      <c r="F321" s="8">
        <v>1.0</v>
      </c>
      <c r="G321" s="8">
        <v>2.0</v>
      </c>
      <c r="H321" s="8">
        <v>1.0</v>
      </c>
      <c r="I321" s="16" t="str">
        <f t="shared" si="1"/>
        <v>10-9</v>
      </c>
      <c r="J321" s="17" t="str">
        <f t="shared" si="2"/>
        <v>54</v>
      </c>
      <c r="K321" s="17" t="str">
        <f t="shared" si="3"/>
        <v>90</v>
      </c>
      <c r="L321" s="18" t="str">
        <f t="shared" si="4"/>
        <v>192.4</v>
      </c>
      <c r="M321" s="17" t="str">
        <f t="shared" si="5"/>
        <v>3</v>
      </c>
    </row>
    <row r="322" ht="14.25" customHeight="1">
      <c r="A322" s="8">
        <v>10.0</v>
      </c>
      <c r="B322" s="8">
        <v>9.0</v>
      </c>
      <c r="C322" s="8">
        <v>0.0</v>
      </c>
      <c r="D322" s="8" t="s">
        <v>120</v>
      </c>
      <c r="E322" s="8">
        <v>5.0</v>
      </c>
      <c r="F322" s="8">
        <v>1.0</v>
      </c>
      <c r="G322" s="8">
        <v>6.0</v>
      </c>
      <c r="H322" s="8">
        <v>1.0</v>
      </c>
      <c r="I322" s="16" t="str">
        <f t="shared" si="1"/>
        <v>10-9</v>
      </c>
      <c r="J322" s="17" t="str">
        <f t="shared" si="2"/>
        <v>75</v>
      </c>
      <c r="K322" s="17" t="str">
        <f t="shared" si="3"/>
        <v>100</v>
      </c>
      <c r="L322" s="18" t="str">
        <f t="shared" si="4"/>
        <v>300.7</v>
      </c>
      <c r="M322" s="17" t="str">
        <f t="shared" si="5"/>
        <v>7</v>
      </c>
    </row>
    <row r="323" ht="14.25" customHeight="1">
      <c r="A323" s="8">
        <v>10.0</v>
      </c>
      <c r="B323" s="8">
        <v>10.0</v>
      </c>
      <c r="C323" s="8">
        <v>0.0</v>
      </c>
      <c r="D323" s="8" t="s">
        <v>113</v>
      </c>
      <c r="E323" s="8">
        <v>1.0</v>
      </c>
      <c r="F323" s="8">
        <v>0.0</v>
      </c>
      <c r="G323" s="8">
        <v>0.0</v>
      </c>
      <c r="H323" s="8">
        <v>0.0</v>
      </c>
      <c r="I323" s="16" t="str">
        <f t="shared" si="1"/>
        <v>10-10</v>
      </c>
      <c r="J323" s="17" t="str">
        <f t="shared" si="2"/>
        <v>10</v>
      </c>
      <c r="K323" s="17" t="str">
        <f t="shared" si="3"/>
        <v>20</v>
      </c>
      <c r="L323" s="18" t="str">
        <f t="shared" si="4"/>
        <v>36.8</v>
      </c>
      <c r="M323" s="17" t="str">
        <f t="shared" si="5"/>
        <v>0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0.0"/>
    <col customWidth="1" min="2" max="2" width="16.0"/>
    <col customWidth="1" min="3" max="3" width="13.0"/>
    <col customWidth="1" min="4" max="5" width="11.0"/>
    <col customWidth="1" min="6" max="6" width="12.0"/>
    <col customWidth="1" min="7" max="7" width="13.0"/>
    <col customWidth="1" min="8" max="9" width="14.0"/>
    <col customWidth="1" min="10" max="10" width="12.0"/>
    <col customWidth="1" min="11" max="12" width="15.0"/>
    <col customWidth="1" min="13" max="13" width="17.0"/>
    <col customWidth="1" min="14" max="14" width="14.0"/>
    <col customWidth="1" min="15" max="17" width="11.0"/>
    <col customWidth="1" min="18" max="18" width="13.0"/>
    <col customWidth="1" min="19" max="29" width="8.57"/>
  </cols>
  <sheetData>
    <row r="1" ht="14.25" customHeight="1">
      <c r="A1" s="1" t="s">
        <v>210</v>
      </c>
    </row>
    <row r="2" ht="14.25" customHeight="1">
      <c r="A2" s="2" t="s">
        <v>211</v>
      </c>
    </row>
    <row r="3" ht="14.25" customHeight="1"/>
    <row r="4" ht="14.25" customHeight="1">
      <c r="A4" s="3" t="s">
        <v>212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ht="33.75" customHeight="1">
      <c r="A5" s="5" t="s">
        <v>213</v>
      </c>
      <c r="B5" s="5" t="s">
        <v>4</v>
      </c>
      <c r="C5" s="5"/>
    </row>
    <row r="6" ht="14.25" customHeight="1">
      <c r="A6" s="6" t="s">
        <v>214</v>
      </c>
      <c r="B6" s="20" t="str">
        <f>1/CONSTANTS!$G$24</f>
        <v>1.538</v>
      </c>
      <c r="C6" s="9"/>
    </row>
    <row r="7" ht="14.25" customHeight="1">
      <c r="A7" s="6" t="s">
        <v>215</v>
      </c>
      <c r="B7" s="20" t="str">
        <f>1/CONSTANTS!$H$24</f>
        <v>1.000</v>
      </c>
      <c r="C7" s="9"/>
    </row>
    <row r="8" ht="14.25" customHeight="1">
      <c r="A8" s="6" t="s">
        <v>216</v>
      </c>
      <c r="B8" s="20" t="str">
        <f>1/CONSTANTS!$G$29</f>
        <v>2.222</v>
      </c>
      <c r="C8" s="9"/>
    </row>
    <row r="9" ht="14.25" customHeight="1">
      <c r="A9" s="6" t="s">
        <v>217</v>
      </c>
      <c r="B9" s="20" t="str">
        <f>1/CONSTANTS!$G$25</f>
        <v>1.176</v>
      </c>
      <c r="C9" s="9"/>
    </row>
    <row r="10" ht="14.25" customHeight="1">
      <c r="A10" s="6" t="s">
        <v>218</v>
      </c>
      <c r="B10" s="20" t="str">
        <f>1/CONSTANTS!$G$26</f>
        <v>1.176</v>
      </c>
      <c r="C10" s="9"/>
    </row>
    <row r="11" ht="14.25" customHeight="1">
      <c r="A11" s="6" t="s">
        <v>219</v>
      </c>
      <c r="B11" s="20" t="str">
        <f>1/CONSTANTS!$G$27</f>
        <v>1.538</v>
      </c>
      <c r="C11" s="9"/>
    </row>
    <row r="12" ht="14.25" customHeight="1">
      <c r="A12" s="6" t="s">
        <v>220</v>
      </c>
      <c r="B12" s="20" t="str">
        <f>1/CONSTANTS!$G$28</f>
        <v>0.500</v>
      </c>
      <c r="C12" s="9"/>
    </row>
    <row r="13" ht="14.25" customHeight="1">
      <c r="A13" s="6" t="s">
        <v>221</v>
      </c>
      <c r="B13" s="21" t="str">
        <f>CONSTANTS!$B$6</f>
        <v>70%</v>
      </c>
      <c r="C13" s="9"/>
    </row>
    <row r="14" ht="14.25" customHeight="1">
      <c r="A14" s="6" t="s">
        <v>222</v>
      </c>
      <c r="B14" s="22" t="str">
        <f>CONSTANTS!$B$7</f>
        <v>3</v>
      </c>
      <c r="C14" s="9"/>
    </row>
    <row r="15" ht="14.25" customHeight="1">
      <c r="A15" s="6" t="s">
        <v>223</v>
      </c>
      <c r="B15" s="23" t="str">
        <f>CONSTANTS!$B$8</f>
        <v>10.0%</v>
      </c>
      <c r="C15" s="9"/>
    </row>
    <row r="16" ht="14.25" customHeight="1">
      <c r="A16" s="6" t="s">
        <v>224</v>
      </c>
      <c r="B16" s="24" t="str">
        <f>CONSTANTS!$B$12</f>
        <v>1.30</v>
      </c>
      <c r="C16" s="9"/>
    </row>
    <row r="17" ht="14.25" customHeight="1">
      <c r="A17" s="6" t="s">
        <v>225</v>
      </c>
      <c r="B17" s="25" t="str">
        <f>CONSTANTS!$I$24+MIN(CONSTANTS!$I$25,CONSTANTS!$I$26,CONSTANTS!$I$27)</f>
        <v>420</v>
      </c>
      <c r="C17" s="9"/>
    </row>
    <row r="18" ht="14.25" customHeight="1">
      <c r="A18" s="6" t="s">
        <v>226</v>
      </c>
      <c r="B18" s="25" t="str">
        <f>SUM(CONSTANTS!$I$24:$I$29)</f>
        <v>1,120</v>
      </c>
      <c r="C18" s="9"/>
    </row>
    <row r="19" ht="14.25" customHeight="1">
      <c r="A19" s="6" t="s">
        <v>227</v>
      </c>
      <c r="B19" s="25" t="str">
        <f>SUM(CONSTANTS!$C$34:$C$42)</f>
        <v>3,500</v>
      </c>
      <c r="C19" s="9"/>
    </row>
    <row r="20" ht="14.25" customHeight="1">
      <c r="A20" s="6" t="s">
        <v>228</v>
      </c>
      <c r="B20" s="25" t="str">
        <f>B18+B19</f>
        <v>4,620</v>
      </c>
      <c r="C20" s="9"/>
    </row>
    <row r="21" ht="14.25" customHeight="1"/>
    <row r="22" ht="14.25" customHeight="1">
      <c r="A22" s="3" t="s">
        <v>229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ht="14.25" customHeight="1">
      <c r="A23" s="2" t="s">
        <v>230</v>
      </c>
    </row>
    <row r="24" ht="33.75" customHeight="1">
      <c r="A24" s="5" t="s">
        <v>231</v>
      </c>
      <c r="B24" s="5" t="s">
        <v>232</v>
      </c>
      <c r="C24" s="5" t="s">
        <v>233</v>
      </c>
      <c r="D24" s="5" t="s">
        <v>234</v>
      </c>
      <c r="E24" s="5" t="s">
        <v>235</v>
      </c>
      <c r="F24" s="5" t="s">
        <v>236</v>
      </c>
      <c r="G24" s="5" t="s">
        <v>237</v>
      </c>
      <c r="H24" s="5" t="s">
        <v>238</v>
      </c>
      <c r="I24" s="5" t="s">
        <v>239</v>
      </c>
      <c r="J24" s="5" t="s">
        <v>33</v>
      </c>
      <c r="K24" s="5" t="s">
        <v>34</v>
      </c>
    </row>
    <row r="25" ht="14.25" customHeight="1">
      <c r="A25" s="26" t="str">
        <f>CONSTANTS!$B$24</f>
        <v>KIM · Chuông Đồng</v>
      </c>
      <c r="B25" s="18" t="str">
        <f>CONSTANTS!$L$24</f>
        <v>5.0</v>
      </c>
      <c r="C25" s="18" t="str">
        <f>IF(CONSTANTS!$N$24=0,0,CONSTANTS!$M$24*(CONSTANTS!$O$24/CONSTANTS!$N$24))</f>
        <v>0.0</v>
      </c>
      <c r="D25" s="27" t="str">
        <f t="shared" ref="D25:D30" si="1">B25+C25</f>
        <v>5.0</v>
      </c>
      <c r="E25" s="28" t="str">
        <f>1/CONSTANTS!$G$24</f>
        <v>1.538</v>
      </c>
      <c r="F25" s="18" t="str">
        <f t="shared" ref="F25:F30" si="2">D25*E25</f>
        <v>7.7</v>
      </c>
      <c r="G25" s="28" t="str">
        <f>E25</f>
        <v>1.538</v>
      </c>
      <c r="H25" s="27" t="str">
        <f t="shared" ref="H25:H30" si="3">D25*G25</f>
        <v>7.7</v>
      </c>
      <c r="I25" s="29" t="str">
        <f t="shared" ref="I25:I30" si="4">G25/$B$6</f>
        <v>100.0%</v>
      </c>
      <c r="J25" s="17" t="str">
        <f>CONSTANTS!$E$24</f>
        <v>0</v>
      </c>
      <c r="K25" s="8" t="str">
        <f>IF(CONSTANTS!$F$24=1,"CÓ","KHÔNG")</f>
        <v>KHÔNG</v>
      </c>
    </row>
    <row r="26" ht="14.25" customHeight="1">
      <c r="A26" s="26" t="str">
        <f>CONSTANTS!$B$25</f>
        <v>HỎA · Đình Hương</v>
      </c>
      <c r="B26" s="18" t="str">
        <f>CONSTANTS!$L$25</f>
        <v>10.0</v>
      </c>
      <c r="C26" s="18" t="str">
        <f>IF(CONSTANTS!$N$25=0,0,CONSTANTS!$M$25*(CONSTANTS!$O$25/CONSTANTS!$N$25))</f>
        <v>8.0</v>
      </c>
      <c r="D26" s="27" t="str">
        <f t="shared" si="1"/>
        <v>18.0</v>
      </c>
      <c r="E26" s="28" t="str">
        <f>1/CONSTANTS!$G$25</f>
        <v>1.176</v>
      </c>
      <c r="F26" s="18" t="str">
        <f t="shared" si="2"/>
        <v>21.2</v>
      </c>
      <c r="G26" s="28" t="str">
        <f t="shared" ref="G26:G28" si="5">MIN($B$6,E26)</f>
        <v>1.176</v>
      </c>
      <c r="H26" s="27" t="str">
        <f t="shared" si="3"/>
        <v>21.2</v>
      </c>
      <c r="I26" s="29" t="str">
        <f t="shared" si="4"/>
        <v>76.5%</v>
      </c>
      <c r="J26" s="17" t="str">
        <f>CONSTANTS!$E$25</f>
        <v>3</v>
      </c>
      <c r="K26" s="8" t="str">
        <f>IF(CONSTANTS!$F$25=1,"CÓ","KHÔNG")</f>
        <v>CÓ</v>
      </c>
    </row>
    <row r="27" ht="14.25" customHeight="1">
      <c r="A27" s="26" t="str">
        <f>CONSTANTS!$B$26</f>
        <v>THỦY · Giếng Ngọc</v>
      </c>
      <c r="B27" s="18" t="str">
        <f>CONSTANTS!$L$26</f>
        <v>0.0</v>
      </c>
      <c r="C27" s="18" t="str">
        <f>IF(CONSTANTS!$N$26=0,0,CONSTANTS!$M$26*(CONSTANTS!$O$26/CONSTANTS!$N$26))</f>
        <v>0.0</v>
      </c>
      <c r="D27" s="27" t="str">
        <f t="shared" si="1"/>
        <v>0.0</v>
      </c>
      <c r="E27" s="28" t="str">
        <f>1/CONSTANTS!$G$26</f>
        <v>1.176</v>
      </c>
      <c r="F27" s="18" t="str">
        <f t="shared" si="2"/>
        <v>0.0</v>
      </c>
      <c r="G27" s="28" t="str">
        <f t="shared" si="5"/>
        <v>1.176</v>
      </c>
      <c r="H27" s="27" t="str">
        <f t="shared" si="3"/>
        <v>0.0</v>
      </c>
      <c r="I27" s="29" t="str">
        <f t="shared" si="4"/>
        <v>76.5%</v>
      </c>
      <c r="J27" s="17" t="str">
        <f>CONSTANTS!$E$26</f>
        <v>3</v>
      </c>
      <c r="K27" s="8" t="str">
        <f>IF(CONSTANTS!$F$26=1,"CÓ","KHÔNG")</f>
        <v>CÓ</v>
      </c>
    </row>
    <row r="28" ht="14.25" customHeight="1">
      <c r="A28" s="26" t="str">
        <f>CONSTANTS!$B$27</f>
        <v>PHONG · Túc Phong</v>
      </c>
      <c r="B28" s="18" t="str">
        <f>CONSTANTS!$L$27</f>
        <v>5.0</v>
      </c>
      <c r="C28" s="18" t="str">
        <f>IF(CONSTANTS!$N$27=0,0,CONSTANTS!$M$27*(CONSTANTS!$O$27/CONSTANTS!$N$27))</f>
        <v>0.0</v>
      </c>
      <c r="D28" s="27" t="str">
        <f t="shared" si="1"/>
        <v>5.0</v>
      </c>
      <c r="E28" s="28" t="str">
        <f>1/CONSTANTS!$G$27</f>
        <v>1.538</v>
      </c>
      <c r="F28" s="18" t="str">
        <f t="shared" si="2"/>
        <v>7.7</v>
      </c>
      <c r="G28" s="28" t="str">
        <f t="shared" si="5"/>
        <v>1.538</v>
      </c>
      <c r="H28" s="27" t="str">
        <f t="shared" si="3"/>
        <v>7.7</v>
      </c>
      <c r="I28" s="29" t="str">
        <f t="shared" si="4"/>
        <v>100.0%</v>
      </c>
      <c r="J28" s="17" t="str">
        <f>CONSTANTS!$E$27</f>
        <v>5</v>
      </c>
      <c r="K28" s="8" t="str">
        <f>IF(CONSTANTS!$F$27=1,"CÓ","KHÔNG")</f>
        <v>CÓ</v>
      </c>
    </row>
    <row r="29" ht="14.25" customHeight="1">
      <c r="A29" s="26" t="str">
        <f>CONSTANTS!$B$28</f>
        <v>Cua (Hero)</v>
      </c>
      <c r="B29" s="18" t="str">
        <f>CONSTANTS!$L$28</f>
        <v>20.0</v>
      </c>
      <c r="C29" s="18" t="str">
        <f>IF(CONSTANTS!$N$28=0,0,CONSTANTS!$M$28*(CONSTANTS!$O$28/CONSTANTS!$N$28))</f>
        <v>0.0</v>
      </c>
      <c r="D29" s="27" t="str">
        <f t="shared" si="1"/>
        <v>20.0</v>
      </c>
      <c r="E29" s="28" t="str">
        <f>1/CONSTANTS!$G$28</f>
        <v>0.500</v>
      </c>
      <c r="F29" s="18" t="str">
        <f t="shared" si="2"/>
        <v>10.0</v>
      </c>
      <c r="G29" s="28" t="str">
        <f>E29</f>
        <v>0.500</v>
      </c>
      <c r="H29" s="27" t="str">
        <f t="shared" si="3"/>
        <v>10.0</v>
      </c>
      <c r="I29" s="29" t="str">
        <f t="shared" si="4"/>
        <v>32.5%</v>
      </c>
      <c r="J29" s="17" t="str">
        <f>CONSTANTS!$E$28</f>
        <v>0</v>
      </c>
      <c r="K29" s="8" t="str">
        <f>IF(CONSTANTS!$F$28=1,"CÓ","KHÔNG")</f>
        <v>KHÔNG</v>
      </c>
    </row>
    <row r="30" ht="14.25" customHeight="1">
      <c r="A30" s="26" t="str">
        <f>CONSTANTS!$B$29</f>
        <v>Tỏa Hồn</v>
      </c>
      <c r="B30" s="18" t="str">
        <f>CONSTANTS!$L$29</f>
        <v>0.0</v>
      </c>
      <c r="C30" s="18" t="str">
        <f>IF(CONSTANTS!$N$29=0,0,CONSTANTS!$M$29*(CONSTANTS!$O$29/CONSTANTS!$N$29))</f>
        <v>0.0</v>
      </c>
      <c r="D30" s="27" t="str">
        <f t="shared" si="1"/>
        <v>0.0</v>
      </c>
      <c r="E30" s="28" t="str">
        <f>1/CONSTANTS!$G$29</f>
        <v>2.222</v>
      </c>
      <c r="F30" s="18" t="str">
        <f t="shared" si="2"/>
        <v>0.0</v>
      </c>
      <c r="G30" s="28" t="str">
        <f>MIN($B$6,E30)</f>
        <v>1.538</v>
      </c>
      <c r="H30" s="27" t="str">
        <f t="shared" si="3"/>
        <v>0.0</v>
      </c>
      <c r="I30" s="29" t="str">
        <f t="shared" si="4"/>
        <v>100.0%</v>
      </c>
      <c r="J30" s="17" t="str">
        <f>CONSTANTS!$E$29</f>
        <v>4</v>
      </c>
      <c r="K30" s="8" t="str">
        <f>IF(CONSTANTS!$F$29=1,"CÓ","KHÔNG")</f>
        <v>CÓ</v>
      </c>
    </row>
    <row r="31" ht="14.25" customHeight="1">
      <c r="A31" s="6" t="s">
        <v>240</v>
      </c>
      <c r="B31" s="28" t="str">
        <f>2*$G$26</f>
        <v>2.353</v>
      </c>
      <c r="C31" s="8" t="s">
        <v>241</v>
      </c>
      <c r="D31" s="28" t="str">
        <f>B31-$B$8</f>
        <v>0.131</v>
      </c>
      <c r="E31" s="8" t="str">
        <f>IF(D31&gt;0,"VƯỢT TRẦN → nghẹn","còn chỗ")</f>
        <v>VƯỢT TRẦN → nghẹn</v>
      </c>
    </row>
    <row r="32" ht="14.25" customHeight="1"/>
    <row r="33" ht="14.25" customHeight="1">
      <c r="A33" s="3" t="s">
        <v>242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ht="14.25" customHeight="1">
      <c r="A34" s="2" t="s">
        <v>243</v>
      </c>
    </row>
    <row r="35" ht="33.75" customHeight="1">
      <c r="A35" s="5" t="s">
        <v>244</v>
      </c>
      <c r="B35" s="5" t="s">
        <v>106</v>
      </c>
      <c r="C35" s="5" t="s">
        <v>245</v>
      </c>
      <c r="D35" s="5" t="s">
        <v>246</v>
      </c>
      <c r="E35" s="5" t="s">
        <v>247</v>
      </c>
      <c r="F35" s="5" t="s">
        <v>248</v>
      </c>
      <c r="G35" s="5" t="s">
        <v>249</v>
      </c>
      <c r="H35" s="5" t="s">
        <v>250</v>
      </c>
      <c r="I35" s="5" t="s">
        <v>251</v>
      </c>
      <c r="J35" s="5" t="s">
        <v>252</v>
      </c>
      <c r="K35" s="5" t="s">
        <v>253</v>
      </c>
      <c r="L35" s="5" t="s">
        <v>254</v>
      </c>
      <c r="M35" s="5" t="s">
        <v>255</v>
      </c>
      <c r="N35" s="5" t="s">
        <v>109</v>
      </c>
    </row>
    <row r="36" ht="14.25" customHeight="1">
      <c r="A36" s="26" t="str">
        <f>CONSTANTS!$B$57</f>
        <v>Thường</v>
      </c>
      <c r="B36" s="17" t="str">
        <f>CONSTANTS!$C$57</f>
        <v>20</v>
      </c>
      <c r="C36" s="30" t="str">
        <f>CONSTANTS!$D$57</f>
        <v>2.00</v>
      </c>
      <c r="D36" s="31" t="str">
        <f>CONSTANTS!$E$57</f>
        <v>1.0877</v>
      </c>
      <c r="E36" s="31" t="str">
        <f t="shared" ref="E36:E42" si="6">D36/C36</f>
        <v>0.5439</v>
      </c>
      <c r="F36" s="27" t="str">
        <f t="shared" ref="F36:F42" si="7">B36/E36</f>
        <v>36.8</v>
      </c>
      <c r="G36" s="32" t="str">
        <f t="shared" ref="G36:G42" si="8">F36/$F$36</f>
        <v>1.00×</v>
      </c>
      <c r="H36" s="17" t="str">
        <f t="shared" ref="H36:H42" si="9">ROUNDUP(B36/$D$25,0)</f>
        <v>4</v>
      </c>
      <c r="I36" s="17" t="str">
        <f>ROUNDUP(B36/CONSTANTS!$L$25,0)</f>
        <v>2</v>
      </c>
      <c r="J36" s="17" t="str">
        <f t="shared" ref="J36:J42" si="10">ROUNDUP(B36/$D$26,0)</f>
        <v>2</v>
      </c>
      <c r="K36" s="18" t="str">
        <f t="shared" ref="K36:K42" si="11">J36/$G$26</f>
        <v>1.7</v>
      </c>
      <c r="L36" s="17" t="str">
        <f>CONSTANTS!$G$57</f>
        <v>10</v>
      </c>
      <c r="M36" s="28" t="str">
        <f t="shared" ref="M36:M42" si="12">L36/F36</f>
        <v>0.272</v>
      </c>
      <c r="N36" s="16" t="str">
        <f>CONSTANTS!$F$57</f>
        <v>—</v>
      </c>
    </row>
    <row r="37" ht="14.25" customHeight="1">
      <c r="A37" s="26" t="str">
        <f>CONSTANTS!$B$58</f>
        <v>Trâu / Khiên</v>
      </c>
      <c r="B37" s="17" t="str">
        <f>CONSTANTS!$C$58</f>
        <v>30</v>
      </c>
      <c r="C37" s="30" t="str">
        <f>CONSTANTS!$D$58</f>
        <v>1.70</v>
      </c>
      <c r="D37" s="31" t="str">
        <f>CONSTANTS!$E$58</f>
        <v>0.7954</v>
      </c>
      <c r="E37" s="31" t="str">
        <f t="shared" si="6"/>
        <v>0.4679</v>
      </c>
      <c r="F37" s="27" t="str">
        <f t="shared" si="7"/>
        <v>64.1</v>
      </c>
      <c r="G37" s="32" t="str">
        <f t="shared" si="8"/>
        <v>1.74×</v>
      </c>
      <c r="H37" s="17" t="str">
        <f t="shared" si="9"/>
        <v>6</v>
      </c>
      <c r="I37" s="17" t="str">
        <f>ROUNDUP(B37/CONSTANTS!$L$25,0)</f>
        <v>3</v>
      </c>
      <c r="J37" s="17" t="str">
        <f t="shared" si="10"/>
        <v>2</v>
      </c>
      <c r="K37" s="18" t="str">
        <f t="shared" si="11"/>
        <v>1.7</v>
      </c>
      <c r="L37" s="17" t="str">
        <f>CONSTANTS!$G$58</f>
        <v>18</v>
      </c>
      <c r="M37" s="28" t="str">
        <f t="shared" si="12"/>
        <v>0.281</v>
      </c>
      <c r="N37" s="16" t="str">
        <f>CONSTANTS!$F$58</f>
        <v>—</v>
      </c>
    </row>
    <row r="38" ht="14.25" customHeight="1">
      <c r="A38" s="26" t="str">
        <f>CONSTANTS!$B$59</f>
        <v>Kháng phép</v>
      </c>
      <c r="B38" s="17" t="str">
        <f>CONSTANTS!$C$59</f>
        <v>30</v>
      </c>
      <c r="C38" s="30" t="str">
        <f>CONSTANTS!$D$59</f>
        <v>1.80</v>
      </c>
      <c r="D38" s="31" t="str">
        <f>CONSTANTS!$E$59</f>
        <v>0.3710</v>
      </c>
      <c r="E38" s="31" t="str">
        <f t="shared" si="6"/>
        <v>0.2061</v>
      </c>
      <c r="F38" s="27" t="str">
        <f t="shared" si="7"/>
        <v>145.6</v>
      </c>
      <c r="G38" s="32" t="str">
        <f t="shared" si="8"/>
        <v>3.96×</v>
      </c>
      <c r="H38" s="17" t="str">
        <f t="shared" si="9"/>
        <v>6</v>
      </c>
      <c r="I38" s="17" t="str">
        <f>ROUNDUP(B38/CONSTANTS!$L$25,0)</f>
        <v>3</v>
      </c>
      <c r="J38" s="17" t="str">
        <f t="shared" si="10"/>
        <v>2</v>
      </c>
      <c r="K38" s="18" t="str">
        <f t="shared" si="11"/>
        <v>1.7</v>
      </c>
      <c r="L38" s="17" t="str">
        <f>CONSTANTS!$G$59</f>
        <v>30</v>
      </c>
      <c r="M38" s="28" t="str">
        <f t="shared" si="12"/>
        <v>0.206</v>
      </c>
      <c r="N38" s="16" t="str">
        <f>CONSTANTS!$F$59</f>
        <v>Sốc Nhiệt</v>
      </c>
    </row>
    <row r="39" ht="14.25" customHeight="1">
      <c r="A39" s="26" t="str">
        <f>CONSTANTS!$B$60</f>
        <v>Tàng hình</v>
      </c>
      <c r="B39" s="17" t="str">
        <f>CONSTANTS!$C$60</f>
        <v>20</v>
      </c>
      <c r="C39" s="30" t="str">
        <f>CONSTANTS!$D$60</f>
        <v>2.00</v>
      </c>
      <c r="D39" s="31" t="str">
        <f>CONSTANTS!$E$60</f>
        <v>0.6651</v>
      </c>
      <c r="E39" s="31" t="str">
        <f t="shared" si="6"/>
        <v>0.3326</v>
      </c>
      <c r="F39" s="27" t="str">
        <f t="shared" si="7"/>
        <v>60.1</v>
      </c>
      <c r="G39" s="32" t="str">
        <f t="shared" si="8"/>
        <v>1.64×</v>
      </c>
      <c r="H39" s="17" t="str">
        <f t="shared" si="9"/>
        <v>4</v>
      </c>
      <c r="I39" s="17" t="str">
        <f>ROUNDUP(B39/CONSTANTS!$L$25,0)</f>
        <v>2</v>
      </c>
      <c r="J39" s="17" t="str">
        <f t="shared" si="10"/>
        <v>2</v>
      </c>
      <c r="K39" s="18" t="str">
        <f t="shared" si="11"/>
        <v>1.7</v>
      </c>
      <c r="L39" s="17" t="str">
        <f>CONSTANTS!$G$60</f>
        <v>15</v>
      </c>
      <c r="M39" s="28" t="str">
        <f t="shared" si="12"/>
        <v>0.249</v>
      </c>
      <c r="N39" s="16" t="str">
        <f>CONSTANTS!$F$60</f>
        <v>Trụ Nước</v>
      </c>
    </row>
    <row r="40" ht="14.25" customHeight="1">
      <c r="A40" s="26" t="str">
        <f>CONSTANTS!$B$61</f>
        <v>Gà</v>
      </c>
      <c r="B40" s="17" t="str">
        <f>CONSTANTS!$C$61</f>
        <v>10</v>
      </c>
      <c r="C40" s="30" t="str">
        <f>CONSTANTS!$D$61</f>
        <v>1.90</v>
      </c>
      <c r="D40" s="31" t="str">
        <f>CONSTANTS!$E$61</f>
        <v>0.8500</v>
      </c>
      <c r="E40" s="31" t="str">
        <f t="shared" si="6"/>
        <v>0.4474</v>
      </c>
      <c r="F40" s="27" t="str">
        <f t="shared" si="7"/>
        <v>22.4</v>
      </c>
      <c r="G40" s="32" t="str">
        <f t="shared" si="8"/>
        <v>0.61×</v>
      </c>
      <c r="H40" s="17" t="str">
        <f t="shared" si="9"/>
        <v>2</v>
      </c>
      <c r="I40" s="17" t="str">
        <f>ROUNDUP(B40/CONSTANTS!$L$25,0)</f>
        <v>1</v>
      </c>
      <c r="J40" s="17" t="str">
        <f t="shared" si="10"/>
        <v>1</v>
      </c>
      <c r="K40" s="18" t="str">
        <f t="shared" si="11"/>
        <v>0.9</v>
      </c>
      <c r="L40" s="17" t="str">
        <f>CONSTANTS!$G$61</f>
        <v>14</v>
      </c>
      <c r="M40" s="28" t="str">
        <f t="shared" si="12"/>
        <v>0.626</v>
      </c>
      <c r="N40" s="16" t="str">
        <f>CONSTANTS!$F$61</f>
        <v>—</v>
      </c>
    </row>
    <row r="41" ht="14.25" customHeight="1">
      <c r="A41" s="26" t="str">
        <f>CONSTANTS!$B$62</f>
        <v>Mini Boss</v>
      </c>
      <c r="B41" s="17" t="str">
        <f>CONSTANTS!$C$62</f>
        <v>160</v>
      </c>
      <c r="C41" s="30" t="str">
        <f>CONSTANTS!$D$62</f>
        <v>1.20</v>
      </c>
      <c r="D41" s="31" t="str">
        <f>CONSTANTS!$E$62</f>
        <v>0.5508</v>
      </c>
      <c r="E41" s="31" t="str">
        <f t="shared" si="6"/>
        <v>0.4590</v>
      </c>
      <c r="F41" s="27" t="str">
        <f t="shared" si="7"/>
        <v>348.6</v>
      </c>
      <c r="G41" s="32" t="str">
        <f t="shared" si="8"/>
        <v>9.48×</v>
      </c>
      <c r="H41" s="17" t="str">
        <f t="shared" si="9"/>
        <v>32</v>
      </c>
      <c r="I41" s="17" t="str">
        <f>ROUNDUP(B41/CONSTANTS!$L$25,0)</f>
        <v>16</v>
      </c>
      <c r="J41" s="17" t="str">
        <f t="shared" si="10"/>
        <v>9</v>
      </c>
      <c r="K41" s="18" t="str">
        <f t="shared" si="11"/>
        <v>7.7</v>
      </c>
      <c r="L41" s="17" t="str">
        <f>CONSTANTS!$G$62</f>
        <v>60</v>
      </c>
      <c r="M41" s="28" t="str">
        <f t="shared" si="12"/>
        <v>0.172</v>
      </c>
      <c r="N41" s="16" t="str">
        <f>CONSTANTS!$F$62</f>
        <v>—</v>
      </c>
    </row>
    <row r="42" ht="14.25" customHeight="1">
      <c r="A42" s="26" t="str">
        <f>CONSTANTS!$B$63</f>
        <v>Boss</v>
      </c>
      <c r="B42" s="17" t="str">
        <f>CONSTANTS!$C$63</f>
        <v>600</v>
      </c>
      <c r="C42" s="30" t="str">
        <f>CONSTANTS!$D$63</f>
        <v>0.80</v>
      </c>
      <c r="D42" s="31" t="str">
        <f>CONSTANTS!$E$63</f>
        <v>1.1720</v>
      </c>
      <c r="E42" s="31" t="str">
        <f t="shared" si="6"/>
        <v>1.4650</v>
      </c>
      <c r="F42" s="27" t="str">
        <f t="shared" si="7"/>
        <v>409.6</v>
      </c>
      <c r="G42" s="32" t="str">
        <f t="shared" si="8"/>
        <v>11.14×</v>
      </c>
      <c r="H42" s="17" t="str">
        <f t="shared" si="9"/>
        <v>120</v>
      </c>
      <c r="I42" s="17" t="str">
        <f>ROUNDUP(B42/CONSTANTS!$L$25,0)</f>
        <v>60</v>
      </c>
      <c r="J42" s="17" t="str">
        <f t="shared" si="10"/>
        <v>34</v>
      </c>
      <c r="K42" s="18" t="str">
        <f t="shared" si="11"/>
        <v>28.9</v>
      </c>
      <c r="L42" s="17" t="str">
        <f>CONSTANTS!$G$63</f>
        <v>180</v>
      </c>
      <c r="M42" s="28" t="str">
        <f t="shared" si="12"/>
        <v>0.440</v>
      </c>
      <c r="N42" s="16" t="str">
        <f>CONSTANTS!$F$63</f>
        <v>Đứng = miễn nhiễm</v>
      </c>
    </row>
    <row r="43" ht="14.25" customHeight="1"/>
    <row r="44" ht="14.25" customHeight="1">
      <c r="A44" s="6" t="s">
        <v>256</v>
      </c>
      <c r="B44" s="28" t="str">
        <f>MIN($M$36,$M$37,$M$38,$M$39)</f>
        <v>0.206</v>
      </c>
      <c r="C44" s="8" t="s">
        <v>257</v>
      </c>
      <c r="D44" s="28" t="str">
        <f>MAX($M$36,$M$37,$M$38,$M$39)</f>
        <v>0.281</v>
      </c>
    </row>
    <row r="45" ht="14.25" customHeight="1"/>
    <row r="46" ht="14.25" customHeight="1">
      <c r="A46" s="3" t="s">
        <v>258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ht="14.25" customHeight="1">
      <c r="A47" s="2" t="s">
        <v>259</v>
      </c>
    </row>
    <row r="48" ht="33.75" customHeight="1">
      <c r="A48" s="5" t="s">
        <v>260</v>
      </c>
      <c r="B48" s="5" t="s">
        <v>261</v>
      </c>
      <c r="C48" s="5" t="s">
        <v>70</v>
      </c>
      <c r="D48" s="5" t="s">
        <v>71</v>
      </c>
      <c r="E48" s="5" t="s">
        <v>262</v>
      </c>
      <c r="F48" s="5" t="s">
        <v>263</v>
      </c>
      <c r="G48" s="5" t="s">
        <v>264</v>
      </c>
    </row>
    <row r="49" ht="14.25" customHeight="1">
      <c r="A49" s="6" t="s">
        <v>265</v>
      </c>
      <c r="B49" s="33" t="str">
        <f>0</f>
        <v>0</v>
      </c>
      <c r="C49" s="28" t="str">
        <f>CONSTANTS!$B$46</f>
        <v>0.304</v>
      </c>
      <c r="D49" s="18" t="str">
        <f>CONSTANTS!$B$47</f>
        <v>2.0</v>
      </c>
      <c r="E49" s="28" t="str">
        <f t="shared" ref="E49:E52" si="13">1/(1-C49)</f>
        <v>1.437</v>
      </c>
      <c r="F49" s="34" t="str">
        <f t="shared" ref="F49:F52" si="14">E49-1</f>
        <v>43.7%</v>
      </c>
      <c r="G49" s="8" t="s">
        <v>16</v>
      </c>
    </row>
    <row r="50" ht="14.25" customHeight="1">
      <c r="A50" s="6" t="s">
        <v>266</v>
      </c>
      <c r="B50" s="33" t="str">
        <f>SUMIFS(CONSTANTS!$C$34:$C$42,CONSTANTS!$A$34:$A$42,"THỦY",CONSTANTS!$B$34:$B$42,"&lt;="&amp;1)</f>
        <v>280</v>
      </c>
      <c r="C50" s="28" t="str">
        <f>SUMIFS(CONSTANTS!$F$34:$F$42,CONSTANTS!$A$34:$A$42,"THỦY",CONSTANTS!$B$34:$B$42,1)</f>
        <v>0.304</v>
      </c>
      <c r="D50" s="18" t="str">
        <f>SUMIFS(CONSTANTS!$G$34:$G$42,CONSTANTS!$A$34:$A$42,"THỦY",CONSTANTS!$B$34:$B$42,1)</f>
        <v>3.0</v>
      </c>
      <c r="E50" s="28" t="str">
        <f t="shared" si="13"/>
        <v>1.437</v>
      </c>
      <c r="F50" s="34" t="str">
        <f t="shared" si="14"/>
        <v>43.7%</v>
      </c>
      <c r="G50" s="29" t="str">
        <f t="shared" ref="G50:G52" si="15">F50-F49</f>
        <v>0.0%</v>
      </c>
    </row>
    <row r="51" ht="14.25" customHeight="1">
      <c r="A51" s="6" t="s">
        <v>267</v>
      </c>
      <c r="B51" s="33" t="str">
        <f>SUMIFS(CONSTANTS!$C$34:$C$42,CONSTANTS!$A$34:$A$42,"THỦY",CONSTANTS!$B$34:$B$42,"&lt;="&amp;2)</f>
        <v>700</v>
      </c>
      <c r="C51" s="28" t="str">
        <f>SUMIFS(CONSTANTS!$F$34:$F$42,CONSTANTS!$A$34:$A$42,"THỦY",CONSTANTS!$B$34:$B$42,2)</f>
        <v>0.304</v>
      </c>
      <c r="D51" s="18" t="str">
        <f>SUMIFS(CONSTANTS!$G$34:$G$42,CONSTANTS!$A$34:$A$42,"THỦY",CONSTANTS!$B$34:$B$42,2)</f>
        <v>4.0</v>
      </c>
      <c r="E51" s="28" t="str">
        <f t="shared" si="13"/>
        <v>1.437</v>
      </c>
      <c r="F51" s="34" t="str">
        <f t="shared" si="14"/>
        <v>43.7%</v>
      </c>
      <c r="G51" s="29" t="str">
        <f t="shared" si="15"/>
        <v>0.0%</v>
      </c>
    </row>
    <row r="52" ht="14.25" customHeight="1">
      <c r="A52" s="6" t="s">
        <v>268</v>
      </c>
      <c r="B52" s="33" t="str">
        <f>SUMIFS(CONSTANTS!$C$34:$C$42,CONSTANTS!$A$34:$A$42,"THỦY",CONSTANTS!$B$34:$B$42,"&lt;="&amp;3)</f>
        <v>1,190</v>
      </c>
      <c r="C52" s="28" t="str">
        <f>SUMIFS(CONSTANTS!$F$34:$F$42,CONSTANTS!$A$34:$A$42,"THỦY",CONSTANTS!$B$34:$B$42,3)</f>
        <v>0.450</v>
      </c>
      <c r="D52" s="18" t="str">
        <f>SUMIFS(CONSTANTS!$G$34:$G$42,CONSTANTS!$A$34:$A$42,"THỦY",CONSTANTS!$B$34:$B$42,3)</f>
        <v>4.0</v>
      </c>
      <c r="E52" s="28" t="str">
        <f t="shared" si="13"/>
        <v>1.818</v>
      </c>
      <c r="F52" s="34" t="str">
        <f t="shared" si="14"/>
        <v>81.8%</v>
      </c>
      <c r="G52" s="29" t="str">
        <f t="shared" si="15"/>
        <v>38.1%</v>
      </c>
    </row>
    <row r="53" ht="14.25" customHeight="1"/>
    <row r="54" ht="14.25" customHeight="1">
      <c r="A54" s="3" t="s">
        <v>269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ht="14.25" customHeight="1">
      <c r="A55" s="2" t="s">
        <v>270</v>
      </c>
    </row>
    <row r="56" ht="33.75" customHeight="1">
      <c r="A56" s="5" t="s">
        <v>198</v>
      </c>
      <c r="B56" s="5" t="s">
        <v>150</v>
      </c>
      <c r="C56" s="5" t="s">
        <v>199</v>
      </c>
      <c r="D56" s="5" t="s">
        <v>271</v>
      </c>
      <c r="E56" s="5" t="s">
        <v>205</v>
      </c>
      <c r="F56" s="5" t="s">
        <v>272</v>
      </c>
      <c r="G56" s="5" t="s">
        <v>273</v>
      </c>
      <c r="H56" s="5" t="s">
        <v>274</v>
      </c>
      <c r="I56" s="5" t="s">
        <v>275</v>
      </c>
      <c r="J56" s="5" t="s">
        <v>276</v>
      </c>
      <c r="K56" s="5" t="s">
        <v>277</v>
      </c>
      <c r="L56" s="5" t="s">
        <v>278</v>
      </c>
      <c r="M56" s="5" t="s">
        <v>279</v>
      </c>
      <c r="N56" s="5" t="s">
        <v>200</v>
      </c>
      <c r="O56" s="5" t="s">
        <v>280</v>
      </c>
    </row>
    <row r="57" ht="14.25" customHeight="1">
      <c r="A57" s="8">
        <v>1.0</v>
      </c>
      <c r="B57" s="8" t="s">
        <v>157</v>
      </c>
      <c r="C57" s="8">
        <v>1.0</v>
      </c>
      <c r="D57" s="6">
        <v>1.0</v>
      </c>
      <c r="E57" s="16" t="str">
        <f t="shared" ref="E57:E149" si="16">A57&amp;"-"&amp;C57</f>
        <v>1-1</v>
      </c>
      <c r="F57" s="17" t="str">
        <f>SUMIFS(CONSTANTS!$E$105:$E$323,CONSTANTS!$I$105:$I$323,$E57)</f>
        <v>4</v>
      </c>
      <c r="G57" s="17" t="str">
        <f>SUMIFS(CONSTANTS!$K$105:$K$323,CONSTANTS!$I$105:$I$323,$E57)</f>
        <v>80</v>
      </c>
      <c r="H57" s="17" t="str">
        <f>SUMIFS(CONSTANTS!$L$105:$L$323,CONSTANTS!$I$105:$I$323,$E57)</f>
        <v>147</v>
      </c>
      <c r="I57" s="17" t="str">
        <f>MAXIFS(CONSTANTS!$M$105:$M$323,CONSTANTS!$I$105:$I$323,$E57)</f>
        <v>3</v>
      </c>
      <c r="J57" s="17" t="str">
        <f t="shared" ref="J57:J149" si="17">MAX(I57,$B$14)</f>
        <v>3</v>
      </c>
      <c r="K57" s="18" t="str">
        <f t="shared" ref="K57:K149" si="18">H57/J57</f>
        <v>49.0</v>
      </c>
      <c r="L57" s="27" t="str">
        <f t="shared" ref="L57:L149" si="19">H57/MAX($H$57:$H$149)*100</f>
        <v>9.1</v>
      </c>
      <c r="M57" s="17" t="str">
        <f t="array" ref="M57">SUMPRODUCT((COUNTIFS(CONSTANTS!$I$105:$I$323,$E57,CONSTANTS!$D$105:$D$323,CONSTANTS!$A$57:$A$63)&gt;0)*1)</f>
        <v>1</v>
      </c>
      <c r="N57" s="17" t="str">
        <f>MAXIFS(CONSTANTS!$C$105:$C$323,CONSTANTS!$I$105:$I$323,$E57)</f>
        <v>0</v>
      </c>
      <c r="O57" s="17" t="str">
        <f>SUMIFS(CONSTANTS!$J$105:$J$323,CONSTANTS!$I$105:$I$323,$E57)</f>
        <v>40</v>
      </c>
    </row>
    <row r="58" ht="14.25" customHeight="1">
      <c r="A58" s="8">
        <v>1.0</v>
      </c>
      <c r="B58" s="8" t="s">
        <v>157</v>
      </c>
      <c r="C58" s="8">
        <v>2.0</v>
      </c>
      <c r="D58" s="6">
        <v>2.0</v>
      </c>
      <c r="E58" s="16" t="str">
        <f t="shared" si="16"/>
        <v>1-2</v>
      </c>
      <c r="F58" s="17" t="str">
        <f>SUMIFS(CONSTANTS!$E$105:$E$323,CONSTANTS!$I$105:$I$323,$E58)</f>
        <v>5</v>
      </c>
      <c r="G58" s="17" t="str">
        <f>SUMIFS(CONSTANTS!$K$105:$K$323,CONSTANTS!$I$105:$I$323,$E58)</f>
        <v>110</v>
      </c>
      <c r="H58" s="17" t="str">
        <f>SUMIFS(CONSTANTS!$L$105:$L$323,CONSTANTS!$I$105:$I$323,$E58)</f>
        <v>211</v>
      </c>
      <c r="I58" s="17" t="str">
        <f>MAXIFS(CONSTANTS!$M$105:$M$323,CONSTANTS!$I$105:$I$323,$E58)</f>
        <v>5</v>
      </c>
      <c r="J58" s="17" t="str">
        <f t="shared" si="17"/>
        <v>5</v>
      </c>
      <c r="K58" s="18" t="str">
        <f t="shared" si="18"/>
        <v>42.2</v>
      </c>
      <c r="L58" s="27" t="str">
        <f t="shared" si="19"/>
        <v>13.0</v>
      </c>
      <c r="M58" s="17" t="str">
        <f t="array" ref="M58">SUMPRODUCT((COUNTIFS(CONSTANTS!$I$105:$I$323,$E58,CONSTANTS!$D$105:$D$323,CONSTANTS!$A$57:$A$63)&gt;0)*1)</f>
        <v>2</v>
      </c>
      <c r="N58" s="17" t="str">
        <f>MAXIFS(CONSTANTS!$C$105:$C$323,CONSTANTS!$I$105:$I$323,$E58)</f>
        <v>0</v>
      </c>
      <c r="O58" s="17" t="str">
        <f>SUMIFS(CONSTANTS!$J$105:$J$323,CONSTANTS!$I$105:$I$323,$E58)</f>
        <v>58</v>
      </c>
    </row>
    <row r="59" ht="14.25" customHeight="1">
      <c r="A59" s="8">
        <v>1.0</v>
      </c>
      <c r="B59" s="8" t="s">
        <v>157</v>
      </c>
      <c r="C59" s="8">
        <v>3.0</v>
      </c>
      <c r="D59" s="6">
        <v>3.0</v>
      </c>
      <c r="E59" s="16" t="str">
        <f t="shared" si="16"/>
        <v>1-3</v>
      </c>
      <c r="F59" s="17" t="str">
        <f>SUMIFS(CONSTANTS!$E$105:$E$323,CONSTANTS!$I$105:$I$323,$E59)</f>
        <v>5</v>
      </c>
      <c r="G59" s="17" t="str">
        <f>SUMIFS(CONSTANTS!$K$105:$K$323,CONSTANTS!$I$105:$I$323,$E59)</f>
        <v>120</v>
      </c>
      <c r="H59" s="17" t="str">
        <f>SUMIFS(CONSTANTS!$L$105:$L$323,CONSTANTS!$I$105:$I$323,$E59)</f>
        <v>239</v>
      </c>
      <c r="I59" s="17" t="str">
        <f>MAXIFS(CONSTANTS!$M$105:$M$323,CONSTANTS!$I$105:$I$323,$E59)</f>
        <v>5</v>
      </c>
      <c r="J59" s="17" t="str">
        <f t="shared" si="17"/>
        <v>5</v>
      </c>
      <c r="K59" s="18" t="str">
        <f t="shared" si="18"/>
        <v>47.7</v>
      </c>
      <c r="L59" s="27" t="str">
        <f t="shared" si="19"/>
        <v>14.7</v>
      </c>
      <c r="M59" s="17" t="str">
        <f t="array" ref="M59">SUMPRODUCT((COUNTIFS(CONSTANTS!$I$105:$I$323,$E59,CONSTANTS!$D$105:$D$323,CONSTANTS!$A$57:$A$63)&gt;0)*1)</f>
        <v>2</v>
      </c>
      <c r="N59" s="17" t="str">
        <f>MAXIFS(CONSTANTS!$C$105:$C$323,CONSTANTS!$I$105:$I$323,$E59)</f>
        <v>100</v>
      </c>
      <c r="O59" s="17" t="str">
        <f>SUMIFS(CONSTANTS!$J$105:$J$323,CONSTANTS!$I$105:$I$323,$E59)</f>
        <v>66</v>
      </c>
    </row>
    <row r="60" ht="14.25" customHeight="1">
      <c r="A60" s="8">
        <v>1.0</v>
      </c>
      <c r="B60" s="8" t="s">
        <v>157</v>
      </c>
      <c r="C60" s="8">
        <v>4.0</v>
      </c>
      <c r="D60" s="6">
        <v>4.0</v>
      </c>
      <c r="E60" s="16" t="str">
        <f t="shared" si="16"/>
        <v>1-4</v>
      </c>
      <c r="F60" s="17" t="str">
        <f>SUMIFS(CONSTANTS!$E$105:$E$323,CONSTANTS!$I$105:$I$323,$E60)</f>
        <v>6</v>
      </c>
      <c r="G60" s="17" t="str">
        <f>SUMIFS(CONSTANTS!$K$105:$K$323,CONSTANTS!$I$105:$I$323,$E60)</f>
        <v>120</v>
      </c>
      <c r="H60" s="17" t="str">
        <f>SUMIFS(CONSTANTS!$L$105:$L$323,CONSTANTS!$I$105:$I$323,$E60)</f>
        <v>267</v>
      </c>
      <c r="I60" s="17" t="str">
        <f>MAXIFS(CONSTANTS!$M$105:$M$323,CONSTANTS!$I$105:$I$323,$E60)</f>
        <v>5</v>
      </c>
      <c r="J60" s="17" t="str">
        <f t="shared" si="17"/>
        <v>5</v>
      </c>
      <c r="K60" s="18" t="str">
        <f t="shared" si="18"/>
        <v>53.5</v>
      </c>
      <c r="L60" s="27" t="str">
        <f t="shared" si="19"/>
        <v>16.5</v>
      </c>
      <c r="M60" s="17" t="str">
        <f t="array" ref="M60">SUMPRODUCT((COUNTIFS(CONSTANTS!$I$105:$I$323,$E60,CONSTANTS!$D$105:$D$323,CONSTANTS!$A$57:$A$63)&gt;0)*1)</f>
        <v>2</v>
      </c>
      <c r="N60" s="17" t="str">
        <f>MAXIFS(CONSTANTS!$C$105:$C$323,CONSTANTS!$I$105:$I$323,$E60)</f>
        <v>100</v>
      </c>
      <c r="O60" s="17" t="str">
        <f>SUMIFS(CONSTANTS!$J$105:$J$323,CONSTANTS!$I$105:$I$323,$E60)</f>
        <v>70</v>
      </c>
    </row>
    <row r="61" ht="14.25" customHeight="1">
      <c r="A61" s="8">
        <v>1.0</v>
      </c>
      <c r="B61" s="8" t="s">
        <v>157</v>
      </c>
      <c r="C61" s="8">
        <v>5.0</v>
      </c>
      <c r="D61" s="6">
        <v>5.0</v>
      </c>
      <c r="E61" s="16" t="str">
        <f t="shared" si="16"/>
        <v>1-5</v>
      </c>
      <c r="F61" s="17" t="str">
        <f>SUMIFS(CONSTANTS!$E$105:$E$323,CONSTANTS!$I$105:$I$323,$E61)</f>
        <v>7</v>
      </c>
      <c r="G61" s="17" t="str">
        <f>SUMIFS(CONSTANTS!$K$105:$K$323,CONSTANTS!$I$105:$I$323,$E61)</f>
        <v>140</v>
      </c>
      <c r="H61" s="17" t="str">
        <f>SUMIFS(CONSTANTS!$L$105:$L$323,CONSTANTS!$I$105:$I$323,$E61)</f>
        <v>304</v>
      </c>
      <c r="I61" s="17" t="str">
        <f>MAXIFS(CONSTANTS!$M$105:$M$323,CONSTANTS!$I$105:$I$323,$E61)</f>
        <v>5</v>
      </c>
      <c r="J61" s="17" t="str">
        <f t="shared" si="17"/>
        <v>5</v>
      </c>
      <c r="K61" s="18" t="str">
        <f t="shared" si="18"/>
        <v>60.8</v>
      </c>
      <c r="L61" s="27" t="str">
        <f t="shared" si="19"/>
        <v>18.7</v>
      </c>
      <c r="M61" s="17" t="str">
        <f t="array" ref="M61">SUMPRODUCT((COUNTIFS(CONSTANTS!$I$105:$I$323,$E61,CONSTANTS!$D$105:$D$323,CONSTANTS!$A$57:$A$63)&gt;0)*1)</f>
        <v>2</v>
      </c>
      <c r="N61" s="17" t="str">
        <f>MAXIFS(CONSTANTS!$C$105:$C$323,CONSTANTS!$I$105:$I$323,$E61)</f>
        <v>0</v>
      </c>
      <c r="O61" s="17" t="str">
        <f>SUMIFS(CONSTANTS!$J$105:$J$323,CONSTANTS!$I$105:$I$323,$E61)</f>
        <v>80</v>
      </c>
    </row>
    <row r="62" ht="14.25" customHeight="1">
      <c r="A62" s="8">
        <v>1.0</v>
      </c>
      <c r="B62" s="8" t="s">
        <v>157</v>
      </c>
      <c r="C62" s="8">
        <v>6.0</v>
      </c>
      <c r="D62" s="6">
        <v>6.0</v>
      </c>
      <c r="E62" s="16" t="str">
        <f t="shared" si="16"/>
        <v>1-6</v>
      </c>
      <c r="F62" s="17" t="str">
        <f>SUMIFS(CONSTANTS!$E$105:$E$323,CONSTANTS!$I$105:$I$323,$E62)</f>
        <v>8</v>
      </c>
      <c r="G62" s="17" t="str">
        <f>SUMIFS(CONSTANTS!$K$105:$K$323,CONSTANTS!$I$105:$I$323,$E62)</f>
        <v>180</v>
      </c>
      <c r="H62" s="17" t="str">
        <f>SUMIFS(CONSTANTS!$L$105:$L$323,CONSTANTS!$I$105:$I$323,$E62)</f>
        <v>396</v>
      </c>
      <c r="I62" s="17" t="str">
        <f>MAXIFS(CONSTANTS!$M$105:$M$323,CONSTANTS!$I$105:$I$323,$E62)</f>
        <v>8</v>
      </c>
      <c r="J62" s="17" t="str">
        <f t="shared" si="17"/>
        <v>8</v>
      </c>
      <c r="K62" s="18" t="str">
        <f t="shared" si="18"/>
        <v>49.5</v>
      </c>
      <c r="L62" s="27" t="str">
        <f t="shared" si="19"/>
        <v>24.4</v>
      </c>
      <c r="M62" s="17" t="str">
        <f t="array" ref="M62">SUMPRODUCT((COUNTIFS(CONSTANTS!$I$105:$I$323,$E62,CONSTANTS!$D$105:$D$323,CONSTANTS!$A$57:$A$63)&gt;0)*1)</f>
        <v>3</v>
      </c>
      <c r="N62" s="17" t="str">
        <f>MAXIFS(CONSTANTS!$C$105:$C$323,CONSTANTS!$I$105:$I$323,$E62)</f>
        <v>100</v>
      </c>
      <c r="O62" s="17" t="str">
        <f>SUMIFS(CONSTANTS!$J$105:$J$323,CONSTANTS!$I$105:$I$323,$E62)</f>
        <v>106</v>
      </c>
    </row>
    <row r="63" ht="14.25" customHeight="1">
      <c r="A63" s="8">
        <v>1.0</v>
      </c>
      <c r="B63" s="8" t="s">
        <v>157</v>
      </c>
      <c r="C63" s="8">
        <v>7.0</v>
      </c>
      <c r="D63" s="6">
        <v>7.0</v>
      </c>
      <c r="E63" s="16" t="str">
        <f t="shared" si="16"/>
        <v>1-7</v>
      </c>
      <c r="F63" s="17" t="str">
        <f>SUMIFS(CONSTANTS!$E$105:$E$323,CONSTANTS!$I$105:$I$323,$E63)</f>
        <v>9</v>
      </c>
      <c r="G63" s="17" t="str">
        <f>SUMIFS(CONSTANTS!$K$105:$K$323,CONSTANTS!$I$105:$I$323,$E63)</f>
        <v>220</v>
      </c>
      <c r="H63" s="17" t="str">
        <f>SUMIFS(CONSTANTS!$L$105:$L$323,CONSTANTS!$I$105:$I$323,$E63)</f>
        <v>510</v>
      </c>
      <c r="I63" s="17" t="str">
        <f>MAXIFS(CONSTANTS!$M$105:$M$323,CONSTANTS!$I$105:$I$323,$E63)</f>
        <v>8</v>
      </c>
      <c r="J63" s="17" t="str">
        <f t="shared" si="17"/>
        <v>8</v>
      </c>
      <c r="K63" s="18" t="str">
        <f t="shared" si="18"/>
        <v>63.8</v>
      </c>
      <c r="L63" s="27" t="str">
        <f t="shared" si="19"/>
        <v>31.5</v>
      </c>
      <c r="M63" s="17" t="str">
        <f t="array" ref="M63">SUMPRODUCT((COUNTIFS(CONSTANTS!$I$105:$I$323,$E63,CONSTANTS!$D$105:$D$323,CONSTANTS!$A$57:$A$63)&gt;0)*1)</f>
        <v>3</v>
      </c>
      <c r="N63" s="17" t="str">
        <f>MAXIFS(CONSTANTS!$C$105:$C$323,CONSTANTS!$I$105:$I$323,$E63)</f>
        <v>200</v>
      </c>
      <c r="O63" s="17" t="str">
        <f>SUMIFS(CONSTANTS!$J$105:$J$323,CONSTANTS!$I$105:$I$323,$E63)</f>
        <v>137</v>
      </c>
    </row>
    <row r="64" ht="14.25" customHeight="1">
      <c r="A64" s="8">
        <v>1.0</v>
      </c>
      <c r="B64" s="8" t="s">
        <v>157</v>
      </c>
      <c r="C64" s="8">
        <v>8.0</v>
      </c>
      <c r="D64" s="6">
        <v>8.0</v>
      </c>
      <c r="E64" s="16" t="str">
        <f t="shared" si="16"/>
        <v>1-8</v>
      </c>
      <c r="F64" s="17" t="str">
        <f>SUMIFS(CONSTANTS!$E$105:$E$323,CONSTANTS!$I$105:$I$323,$E64)</f>
        <v>10</v>
      </c>
      <c r="G64" s="17" t="str">
        <f>SUMIFS(CONSTANTS!$K$105:$K$323,CONSTANTS!$I$105:$I$323,$E64)</f>
        <v>230</v>
      </c>
      <c r="H64" s="17" t="str">
        <f>SUMIFS(CONSTANTS!$L$105:$L$323,CONSTANTS!$I$105:$I$323,$E64)</f>
        <v>543</v>
      </c>
      <c r="I64" s="17" t="str">
        <f>MAXIFS(CONSTANTS!$M$105:$M$323,CONSTANTS!$I$105:$I$323,$E64)</f>
        <v>9</v>
      </c>
      <c r="J64" s="17" t="str">
        <f t="shared" si="17"/>
        <v>9</v>
      </c>
      <c r="K64" s="18" t="str">
        <f t="shared" si="18"/>
        <v>60.4</v>
      </c>
      <c r="L64" s="27" t="str">
        <f t="shared" si="19"/>
        <v>33.5</v>
      </c>
      <c r="M64" s="17" t="str">
        <f t="array" ref="M64">SUMPRODUCT((COUNTIFS(CONSTANTS!$I$105:$I$323,$E64,CONSTANTS!$D$105:$D$323,CONSTANTS!$A$57:$A$63)&gt;0)*1)</f>
        <v>3</v>
      </c>
      <c r="N64" s="17" t="str">
        <f>MAXIFS(CONSTANTS!$C$105:$C$323,CONSTANTS!$I$105:$I$323,$E64)</f>
        <v>0</v>
      </c>
      <c r="O64" s="17" t="str">
        <f>SUMIFS(CONSTANTS!$J$105:$J$323,CONSTANTS!$I$105:$I$323,$E64)</f>
        <v>144</v>
      </c>
    </row>
    <row r="65" ht="14.25" customHeight="1">
      <c r="A65" s="8">
        <v>2.0</v>
      </c>
      <c r="B65" s="8" t="s">
        <v>158</v>
      </c>
      <c r="C65" s="8">
        <v>1.0</v>
      </c>
      <c r="D65" s="6">
        <v>9.0</v>
      </c>
      <c r="E65" s="16" t="str">
        <f t="shared" si="16"/>
        <v>2-1</v>
      </c>
      <c r="F65" s="17" t="str">
        <f>SUMIFS(CONSTANTS!$E$105:$E$323,CONSTANTS!$I$105:$I$323,$E65)</f>
        <v>5</v>
      </c>
      <c r="G65" s="17" t="str">
        <f>SUMIFS(CONSTANTS!$K$105:$K$323,CONSTANTS!$I$105:$I$323,$E65)</f>
        <v>100</v>
      </c>
      <c r="H65" s="17" t="str">
        <f>SUMIFS(CONSTANTS!$L$105:$L$323,CONSTANTS!$I$105:$I$323,$E65)</f>
        <v>184</v>
      </c>
      <c r="I65" s="17" t="str">
        <f>MAXIFS(CONSTANTS!$M$105:$M$323,CONSTANTS!$I$105:$I$323,$E65)</f>
        <v>4</v>
      </c>
      <c r="J65" s="17" t="str">
        <f t="shared" si="17"/>
        <v>4</v>
      </c>
      <c r="K65" s="18" t="str">
        <f t="shared" si="18"/>
        <v>46.0</v>
      </c>
      <c r="L65" s="27" t="str">
        <f t="shared" si="19"/>
        <v>11.3</v>
      </c>
      <c r="M65" s="17" t="str">
        <f t="array" ref="M65">SUMPRODUCT((COUNTIFS(CONSTANTS!$I$105:$I$323,$E65,CONSTANTS!$D$105:$D$323,CONSTANTS!$A$57:$A$63)&gt;0)*1)</f>
        <v>1</v>
      </c>
      <c r="N65" s="17" t="str">
        <f>MAXIFS(CONSTANTS!$C$105:$C$323,CONSTANTS!$I$105:$I$323,$E65)</f>
        <v>0</v>
      </c>
      <c r="O65" s="17" t="str">
        <f>SUMIFS(CONSTANTS!$J$105:$J$323,CONSTANTS!$I$105:$I$323,$E65)</f>
        <v>50</v>
      </c>
    </row>
    <row r="66" ht="14.25" customHeight="1">
      <c r="A66" s="8">
        <v>2.0</v>
      </c>
      <c r="B66" s="8" t="s">
        <v>158</v>
      </c>
      <c r="C66" s="8">
        <v>2.0</v>
      </c>
      <c r="D66" s="6">
        <v>10.0</v>
      </c>
      <c r="E66" s="16" t="str">
        <f t="shared" si="16"/>
        <v>2-2</v>
      </c>
      <c r="F66" s="17" t="str">
        <f>SUMIFS(CONSTANTS!$E$105:$E$323,CONSTANTS!$I$105:$I$323,$E66)</f>
        <v>6</v>
      </c>
      <c r="G66" s="17" t="str">
        <f>SUMIFS(CONSTANTS!$K$105:$K$323,CONSTANTS!$I$105:$I$323,$E66)</f>
        <v>120</v>
      </c>
      <c r="H66" s="17" t="str">
        <f>SUMIFS(CONSTANTS!$L$105:$L$323,CONSTANTS!$I$105:$I$323,$E66)</f>
        <v>221</v>
      </c>
      <c r="I66" s="17" t="str">
        <f>MAXIFS(CONSTANTS!$M$105:$M$323,CONSTANTS!$I$105:$I$323,$E66)</f>
        <v>4</v>
      </c>
      <c r="J66" s="17" t="str">
        <f t="shared" si="17"/>
        <v>4</v>
      </c>
      <c r="K66" s="18" t="str">
        <f t="shared" si="18"/>
        <v>55.2</v>
      </c>
      <c r="L66" s="27" t="str">
        <f t="shared" si="19"/>
        <v>13.6</v>
      </c>
      <c r="M66" s="17" t="str">
        <f t="array" ref="M66">SUMPRODUCT((COUNTIFS(CONSTANTS!$I$105:$I$323,$E66,CONSTANTS!$D$105:$D$323,CONSTANTS!$A$57:$A$63)&gt;0)*1)</f>
        <v>1</v>
      </c>
      <c r="N66" s="17" t="str">
        <f>MAXIFS(CONSTANTS!$C$105:$C$323,CONSTANTS!$I$105:$I$323,$E66)</f>
        <v>0</v>
      </c>
      <c r="O66" s="17" t="str">
        <f>SUMIFS(CONSTANTS!$J$105:$J$323,CONSTANTS!$I$105:$I$323,$E66)</f>
        <v>60</v>
      </c>
    </row>
    <row r="67" ht="14.25" customHeight="1">
      <c r="A67" s="8">
        <v>2.0</v>
      </c>
      <c r="B67" s="8" t="s">
        <v>158</v>
      </c>
      <c r="C67" s="8">
        <v>3.0</v>
      </c>
      <c r="D67" s="6">
        <v>11.0</v>
      </c>
      <c r="E67" s="16" t="str">
        <f t="shared" si="16"/>
        <v>2-3</v>
      </c>
      <c r="F67" s="17" t="str">
        <f>SUMIFS(CONSTANTS!$E$105:$E$323,CONSTANTS!$I$105:$I$323,$E67)</f>
        <v>7</v>
      </c>
      <c r="G67" s="17" t="str">
        <f>SUMIFS(CONSTANTS!$K$105:$K$323,CONSTANTS!$I$105:$I$323,$E67)</f>
        <v>170</v>
      </c>
      <c r="H67" s="17" t="str">
        <f>SUMIFS(CONSTANTS!$L$105:$L$323,CONSTANTS!$I$105:$I$323,$E67)</f>
        <v>339</v>
      </c>
      <c r="I67" s="17" t="str">
        <f>MAXIFS(CONSTANTS!$M$105:$M$323,CONSTANTS!$I$105:$I$323,$E67)</f>
        <v>5</v>
      </c>
      <c r="J67" s="17" t="str">
        <f t="shared" si="17"/>
        <v>5</v>
      </c>
      <c r="K67" s="18" t="str">
        <f t="shared" si="18"/>
        <v>67.9</v>
      </c>
      <c r="L67" s="27" t="str">
        <f t="shared" si="19"/>
        <v>20.9</v>
      </c>
      <c r="M67" s="17" t="str">
        <f t="array" ref="M67">SUMPRODUCT((COUNTIFS(CONSTANTS!$I$105:$I$323,$E67,CONSTANTS!$D$105:$D$323,CONSTANTS!$A$57:$A$63)&gt;0)*1)</f>
        <v>2</v>
      </c>
      <c r="N67" s="17" t="str">
        <f>MAXIFS(CONSTANTS!$C$105:$C$323,CONSTANTS!$I$105:$I$323,$E67)</f>
        <v>100</v>
      </c>
      <c r="O67" s="17" t="str">
        <f>SUMIFS(CONSTANTS!$J$105:$J$323,CONSTANTS!$I$105:$I$323,$E67)</f>
        <v>94</v>
      </c>
    </row>
    <row r="68" ht="14.25" customHeight="1">
      <c r="A68" s="8">
        <v>2.0</v>
      </c>
      <c r="B68" s="8" t="s">
        <v>158</v>
      </c>
      <c r="C68" s="8">
        <v>4.0</v>
      </c>
      <c r="D68" s="6">
        <v>12.0</v>
      </c>
      <c r="E68" s="16" t="str">
        <f t="shared" si="16"/>
        <v>2-4</v>
      </c>
      <c r="F68" s="17" t="str">
        <f>SUMIFS(CONSTANTS!$E$105:$E$323,CONSTANTS!$I$105:$I$323,$E68)</f>
        <v>7</v>
      </c>
      <c r="G68" s="17" t="str">
        <f>SUMIFS(CONSTANTS!$K$105:$K$323,CONSTANTS!$I$105:$I$323,$E68)</f>
        <v>160</v>
      </c>
      <c r="H68" s="17" t="str">
        <f>SUMIFS(CONSTANTS!$L$105:$L$323,CONSTANTS!$I$105:$I$323,$E68)</f>
        <v>475</v>
      </c>
      <c r="I68" s="17" t="str">
        <f>MAXIFS(CONSTANTS!$M$105:$M$323,CONSTANTS!$I$105:$I$323,$E68)</f>
        <v>5</v>
      </c>
      <c r="J68" s="17" t="str">
        <f t="shared" si="17"/>
        <v>5</v>
      </c>
      <c r="K68" s="18" t="str">
        <f t="shared" si="18"/>
        <v>95.0</v>
      </c>
      <c r="L68" s="27" t="str">
        <f t="shared" si="19"/>
        <v>29.3</v>
      </c>
      <c r="M68" s="17" t="str">
        <f t="array" ref="M68">SUMPRODUCT((COUNTIFS(CONSTANTS!$I$105:$I$323,$E68,CONSTANTS!$D$105:$D$323,CONSTANTS!$A$57:$A$63)&gt;0)*1)</f>
        <v>2</v>
      </c>
      <c r="N68" s="17" t="str">
        <f>MAXIFS(CONSTANTS!$C$105:$C$323,CONSTANTS!$I$105:$I$323,$E68)</f>
        <v>0</v>
      </c>
      <c r="O68" s="17" t="str">
        <f>SUMIFS(CONSTANTS!$J$105:$J$323,CONSTANTS!$I$105:$I$323,$E68)</f>
        <v>110</v>
      </c>
    </row>
    <row r="69" ht="14.25" customHeight="1">
      <c r="A69" s="8">
        <v>2.0</v>
      </c>
      <c r="B69" s="8" t="s">
        <v>158</v>
      </c>
      <c r="C69" s="8">
        <v>5.0</v>
      </c>
      <c r="D69" s="6">
        <v>13.0</v>
      </c>
      <c r="E69" s="16" t="str">
        <f t="shared" si="16"/>
        <v>2-5</v>
      </c>
      <c r="F69" s="17" t="str">
        <f>SUMIFS(CONSTANTS!$E$105:$E$323,CONSTANTS!$I$105:$I$323,$E69)</f>
        <v>8</v>
      </c>
      <c r="G69" s="17" t="str">
        <f>SUMIFS(CONSTANTS!$K$105:$K$323,CONSTANTS!$I$105:$I$323,$E69)</f>
        <v>180</v>
      </c>
      <c r="H69" s="17" t="str">
        <f>SUMIFS(CONSTANTS!$L$105:$L$323,CONSTANTS!$I$105:$I$323,$E69)</f>
        <v>512</v>
      </c>
      <c r="I69" s="17" t="str">
        <f>MAXIFS(CONSTANTS!$M$105:$M$323,CONSTANTS!$I$105:$I$323,$E69)</f>
        <v>5</v>
      </c>
      <c r="J69" s="17" t="str">
        <f t="shared" si="17"/>
        <v>5</v>
      </c>
      <c r="K69" s="18" t="str">
        <f t="shared" si="18"/>
        <v>102.4</v>
      </c>
      <c r="L69" s="27" t="str">
        <f t="shared" si="19"/>
        <v>31.5</v>
      </c>
      <c r="M69" s="17" t="str">
        <f t="array" ref="M69">SUMPRODUCT((COUNTIFS(CONSTANTS!$I$105:$I$323,$E69,CONSTANTS!$D$105:$D$323,CONSTANTS!$A$57:$A$63)&gt;0)*1)</f>
        <v>2</v>
      </c>
      <c r="N69" s="17" t="str">
        <f>MAXIFS(CONSTANTS!$C$105:$C$323,CONSTANTS!$I$105:$I$323,$E69)</f>
        <v>100</v>
      </c>
      <c r="O69" s="17" t="str">
        <f>SUMIFS(CONSTANTS!$J$105:$J$323,CONSTANTS!$I$105:$I$323,$E69)</f>
        <v>120</v>
      </c>
    </row>
    <row r="70" ht="14.25" customHeight="1">
      <c r="A70" s="8">
        <v>2.0</v>
      </c>
      <c r="B70" s="8" t="s">
        <v>158</v>
      </c>
      <c r="C70" s="8">
        <v>6.0</v>
      </c>
      <c r="D70" s="6">
        <v>14.0</v>
      </c>
      <c r="E70" s="16" t="str">
        <f t="shared" si="16"/>
        <v>2-6</v>
      </c>
      <c r="F70" s="17" t="str">
        <f>SUMIFS(CONSTANTS!$E$105:$E$323,CONSTANTS!$I$105:$I$323,$E70)</f>
        <v>9</v>
      </c>
      <c r="G70" s="17" t="str">
        <f>SUMIFS(CONSTANTS!$K$105:$K$323,CONSTANTS!$I$105:$I$323,$E70)</f>
        <v>220</v>
      </c>
      <c r="H70" s="17" t="str">
        <f>SUMIFS(CONSTANTS!$L$105:$L$323,CONSTANTS!$I$105:$I$323,$E70)</f>
        <v>522</v>
      </c>
      <c r="I70" s="17" t="str">
        <f>MAXIFS(CONSTANTS!$M$105:$M$323,CONSTANTS!$I$105:$I$323,$E70)</f>
        <v>8</v>
      </c>
      <c r="J70" s="17" t="str">
        <f t="shared" si="17"/>
        <v>8</v>
      </c>
      <c r="K70" s="18" t="str">
        <f t="shared" si="18"/>
        <v>65.2</v>
      </c>
      <c r="L70" s="27" t="str">
        <f t="shared" si="19"/>
        <v>32.2</v>
      </c>
      <c r="M70" s="17" t="str">
        <f t="array" ref="M70">SUMPRODUCT((COUNTIFS(CONSTANTS!$I$105:$I$323,$E70,CONSTANTS!$D$105:$D$323,CONSTANTS!$A$57:$A$63)&gt;0)*1)</f>
        <v>3</v>
      </c>
      <c r="N70" s="17" t="str">
        <f>MAXIFS(CONSTANTS!$C$105:$C$323,CONSTANTS!$I$105:$I$323,$E70)</f>
        <v>0</v>
      </c>
      <c r="O70" s="17" t="str">
        <f>SUMIFS(CONSTANTS!$J$105:$J$323,CONSTANTS!$I$105:$I$323,$E70)</f>
        <v>134</v>
      </c>
    </row>
    <row r="71" ht="14.25" customHeight="1">
      <c r="A71" s="8">
        <v>2.0</v>
      </c>
      <c r="B71" s="8" t="s">
        <v>158</v>
      </c>
      <c r="C71" s="8">
        <v>7.0</v>
      </c>
      <c r="D71" s="6">
        <v>15.0</v>
      </c>
      <c r="E71" s="16" t="str">
        <f t="shared" si="16"/>
        <v>2-7</v>
      </c>
      <c r="F71" s="17" t="str">
        <f>SUMIFS(CONSTANTS!$E$105:$E$323,CONSTANTS!$I$105:$I$323,$E71)</f>
        <v>7</v>
      </c>
      <c r="G71" s="17" t="str">
        <f>SUMIFS(CONSTANTS!$K$105:$K$323,CONSTANTS!$I$105:$I$323,$E71)</f>
        <v>190</v>
      </c>
      <c r="H71" s="17" t="str">
        <f>SUMIFS(CONSTANTS!$L$105:$L$323,CONSTANTS!$I$105:$I$323,$E71)</f>
        <v>557</v>
      </c>
      <c r="I71" s="17" t="str">
        <f>MAXIFS(CONSTANTS!$M$105:$M$323,CONSTANTS!$I$105:$I$323,$E71)</f>
        <v>11</v>
      </c>
      <c r="J71" s="17" t="str">
        <f t="shared" si="17"/>
        <v>11</v>
      </c>
      <c r="K71" s="18" t="str">
        <f t="shared" si="18"/>
        <v>50.6</v>
      </c>
      <c r="L71" s="27" t="str">
        <f t="shared" si="19"/>
        <v>34.3</v>
      </c>
      <c r="M71" s="17" t="str">
        <f t="array" ref="M71">SUMPRODUCT((COUNTIFS(CONSTANTS!$I$105:$I$323,$E71,CONSTANTS!$D$105:$D$323,CONSTANTS!$A$57:$A$63)&gt;0)*1)</f>
        <v>3</v>
      </c>
      <c r="N71" s="17" t="str">
        <f>MAXIFS(CONSTANTS!$C$105:$C$323,CONSTANTS!$I$105:$I$323,$E71)</f>
        <v>200</v>
      </c>
      <c r="O71" s="17" t="str">
        <f>SUMIFS(CONSTANTS!$J$105:$J$323,CONSTANTS!$I$105:$I$323,$E71)</f>
        <v>134</v>
      </c>
    </row>
    <row r="72" ht="14.25" customHeight="1">
      <c r="A72" s="8">
        <v>2.0</v>
      </c>
      <c r="B72" s="8" t="s">
        <v>158</v>
      </c>
      <c r="C72" s="8">
        <v>8.0</v>
      </c>
      <c r="D72" s="6">
        <v>16.0</v>
      </c>
      <c r="E72" s="16" t="str">
        <f t="shared" si="16"/>
        <v>2-8</v>
      </c>
      <c r="F72" s="17" t="str">
        <f>SUMIFS(CONSTANTS!$E$105:$E$323,CONSTANTS!$I$105:$I$323,$E72)</f>
        <v>8</v>
      </c>
      <c r="G72" s="17" t="str">
        <f>SUMIFS(CONSTANTS!$K$105:$K$323,CONSTANTS!$I$105:$I$323,$E72)</f>
        <v>210</v>
      </c>
      <c r="H72" s="17" t="str">
        <f>SUMIFS(CONSTANTS!$L$105:$L$323,CONSTANTS!$I$105:$I$323,$E72)</f>
        <v>594</v>
      </c>
      <c r="I72" s="17" t="str">
        <f>MAXIFS(CONSTANTS!$M$105:$M$323,CONSTANTS!$I$105:$I$323,$E72)</f>
        <v>11</v>
      </c>
      <c r="J72" s="17" t="str">
        <f t="shared" si="17"/>
        <v>11</v>
      </c>
      <c r="K72" s="18" t="str">
        <f t="shared" si="18"/>
        <v>54.0</v>
      </c>
      <c r="L72" s="27" t="str">
        <f t="shared" si="19"/>
        <v>36.6</v>
      </c>
      <c r="M72" s="17" t="str">
        <f t="array" ref="M72">SUMPRODUCT((COUNTIFS(CONSTANTS!$I$105:$I$323,$E72,CONSTANTS!$D$105:$D$323,CONSTANTS!$A$57:$A$63)&gt;0)*1)</f>
        <v>3</v>
      </c>
      <c r="N72" s="17" t="str">
        <f>MAXIFS(CONSTANTS!$C$105:$C$323,CONSTANTS!$I$105:$I$323,$E72)</f>
        <v>0</v>
      </c>
      <c r="O72" s="17" t="str">
        <f>SUMIFS(CONSTANTS!$J$105:$J$323,CONSTANTS!$I$105:$I$323,$E72)</f>
        <v>144</v>
      </c>
    </row>
    <row r="73" ht="14.25" customHeight="1">
      <c r="A73" s="8">
        <v>3.0</v>
      </c>
      <c r="B73" s="8" t="s">
        <v>159</v>
      </c>
      <c r="C73" s="8">
        <v>1.0</v>
      </c>
      <c r="D73" s="6">
        <v>17.0</v>
      </c>
      <c r="E73" s="16" t="str">
        <f t="shared" si="16"/>
        <v>3-1</v>
      </c>
      <c r="F73" s="17" t="str">
        <f>SUMIFS(CONSTANTS!$E$105:$E$323,CONSTANTS!$I$105:$I$323,$E73)</f>
        <v>5</v>
      </c>
      <c r="G73" s="17" t="str">
        <f>SUMIFS(CONSTANTS!$K$105:$K$323,CONSTANTS!$I$105:$I$323,$E73)</f>
        <v>100</v>
      </c>
      <c r="H73" s="17" t="str">
        <f>SUMIFS(CONSTANTS!$L$105:$L$323,CONSTANTS!$I$105:$I$323,$E73)</f>
        <v>184</v>
      </c>
      <c r="I73" s="17" t="str">
        <f>MAXIFS(CONSTANTS!$M$105:$M$323,CONSTANTS!$I$105:$I$323,$E73)</f>
        <v>4</v>
      </c>
      <c r="J73" s="17" t="str">
        <f t="shared" si="17"/>
        <v>4</v>
      </c>
      <c r="K73" s="18" t="str">
        <f t="shared" si="18"/>
        <v>46.0</v>
      </c>
      <c r="L73" s="27" t="str">
        <f t="shared" si="19"/>
        <v>11.3</v>
      </c>
      <c r="M73" s="17" t="str">
        <f t="array" ref="M73">SUMPRODUCT((COUNTIFS(CONSTANTS!$I$105:$I$323,$E73,CONSTANTS!$D$105:$D$323,CONSTANTS!$A$57:$A$63)&gt;0)*1)</f>
        <v>1</v>
      </c>
      <c r="N73" s="17" t="str">
        <f>MAXIFS(CONSTANTS!$C$105:$C$323,CONSTANTS!$I$105:$I$323,$E73)</f>
        <v>0</v>
      </c>
      <c r="O73" s="17" t="str">
        <f>SUMIFS(CONSTANTS!$J$105:$J$323,CONSTANTS!$I$105:$I$323,$E73)</f>
        <v>50</v>
      </c>
    </row>
    <row r="74" ht="14.25" customHeight="1">
      <c r="A74" s="8">
        <v>3.0</v>
      </c>
      <c r="B74" s="8" t="s">
        <v>159</v>
      </c>
      <c r="C74" s="8">
        <v>2.0</v>
      </c>
      <c r="D74" s="6">
        <v>18.0</v>
      </c>
      <c r="E74" s="16" t="str">
        <f t="shared" si="16"/>
        <v>3-2</v>
      </c>
      <c r="F74" s="17" t="str">
        <f>SUMIFS(CONSTANTS!$E$105:$E$323,CONSTANTS!$I$105:$I$323,$E74)</f>
        <v>8</v>
      </c>
      <c r="G74" s="17" t="str">
        <f>SUMIFS(CONSTANTS!$K$105:$K$323,CONSTANTS!$I$105:$I$323,$E74)</f>
        <v>160</v>
      </c>
      <c r="H74" s="17" t="str">
        <f>SUMIFS(CONSTANTS!$L$105:$L$323,CONSTANTS!$I$105:$I$323,$E74)</f>
        <v>294</v>
      </c>
      <c r="I74" s="17" t="str">
        <f>MAXIFS(CONSTANTS!$M$105:$M$323,CONSTANTS!$I$105:$I$323,$E74)</f>
        <v>5</v>
      </c>
      <c r="J74" s="17" t="str">
        <f t="shared" si="17"/>
        <v>5</v>
      </c>
      <c r="K74" s="18" t="str">
        <f t="shared" si="18"/>
        <v>58.8</v>
      </c>
      <c r="L74" s="27" t="str">
        <f t="shared" si="19"/>
        <v>18.1</v>
      </c>
      <c r="M74" s="17" t="str">
        <f t="array" ref="M74">SUMPRODUCT((COUNTIFS(CONSTANTS!$I$105:$I$323,$E74,CONSTANTS!$D$105:$D$323,CONSTANTS!$A$57:$A$63)&gt;0)*1)</f>
        <v>1</v>
      </c>
      <c r="N74" s="17" t="str">
        <f>MAXIFS(CONSTANTS!$C$105:$C$323,CONSTANTS!$I$105:$I$323,$E74)</f>
        <v>0</v>
      </c>
      <c r="O74" s="17" t="str">
        <f>SUMIFS(CONSTANTS!$J$105:$J$323,CONSTANTS!$I$105:$I$323,$E74)</f>
        <v>80</v>
      </c>
    </row>
    <row r="75" ht="14.25" customHeight="1">
      <c r="A75" s="8">
        <v>3.0</v>
      </c>
      <c r="B75" s="8" t="s">
        <v>159</v>
      </c>
      <c r="C75" s="8">
        <v>3.0</v>
      </c>
      <c r="D75" s="6">
        <v>19.0</v>
      </c>
      <c r="E75" s="16" t="str">
        <f t="shared" si="16"/>
        <v>3-3</v>
      </c>
      <c r="F75" s="17" t="str">
        <f>SUMIFS(CONSTANTS!$E$105:$E$323,CONSTANTS!$I$105:$I$323,$E75)</f>
        <v>10</v>
      </c>
      <c r="G75" s="17" t="str">
        <f>SUMIFS(CONSTANTS!$K$105:$K$323,CONSTANTS!$I$105:$I$323,$E75)</f>
        <v>240</v>
      </c>
      <c r="H75" s="17" t="str">
        <f>SUMIFS(CONSTANTS!$L$105:$L$323,CONSTANTS!$I$105:$I$323,$E75)</f>
        <v>477</v>
      </c>
      <c r="I75" s="17" t="str">
        <f>MAXIFS(CONSTANTS!$M$105:$M$323,CONSTANTS!$I$105:$I$323,$E75)</f>
        <v>6</v>
      </c>
      <c r="J75" s="17" t="str">
        <f t="shared" si="17"/>
        <v>6</v>
      </c>
      <c r="K75" s="18" t="str">
        <f t="shared" si="18"/>
        <v>79.5</v>
      </c>
      <c r="L75" s="27" t="str">
        <f t="shared" si="19"/>
        <v>29.4</v>
      </c>
      <c r="M75" s="17" t="str">
        <f t="array" ref="M75">SUMPRODUCT((COUNTIFS(CONSTANTS!$I$105:$I$323,$E75,CONSTANTS!$D$105:$D$323,CONSTANTS!$A$57:$A$63)&gt;0)*1)</f>
        <v>2</v>
      </c>
      <c r="N75" s="17" t="str">
        <f>MAXIFS(CONSTANTS!$C$105:$C$323,CONSTANTS!$I$105:$I$323,$E75)</f>
        <v>100</v>
      </c>
      <c r="O75" s="17" t="str">
        <f>SUMIFS(CONSTANTS!$J$105:$J$323,CONSTANTS!$I$105:$I$323,$E75)</f>
        <v>132</v>
      </c>
    </row>
    <row r="76" ht="14.25" customHeight="1">
      <c r="A76" s="8">
        <v>3.0</v>
      </c>
      <c r="B76" s="8" t="s">
        <v>159</v>
      </c>
      <c r="C76" s="8">
        <v>4.0</v>
      </c>
      <c r="D76" s="6">
        <v>20.0</v>
      </c>
      <c r="E76" s="16" t="str">
        <f t="shared" si="16"/>
        <v>3-4</v>
      </c>
      <c r="F76" s="17" t="str">
        <f>SUMIFS(CONSTANTS!$E$105:$E$323,CONSTANTS!$I$105:$I$323,$E76)</f>
        <v>11</v>
      </c>
      <c r="G76" s="17" t="str">
        <f>SUMIFS(CONSTANTS!$K$105:$K$323,CONSTANTS!$I$105:$I$323,$E76)</f>
        <v>190</v>
      </c>
      <c r="H76" s="17" t="str">
        <f>SUMIFS(CONSTANTS!$L$105:$L$323,CONSTANTS!$I$105:$I$323,$E76)</f>
        <v>361</v>
      </c>
      <c r="I76" s="17" t="str">
        <f>MAXIFS(CONSTANTS!$M$105:$M$323,CONSTANTS!$I$105:$I$323,$E76)</f>
        <v>6</v>
      </c>
      <c r="J76" s="17" t="str">
        <f t="shared" si="17"/>
        <v>6</v>
      </c>
      <c r="K76" s="18" t="str">
        <f t="shared" si="18"/>
        <v>60.2</v>
      </c>
      <c r="L76" s="27" t="str">
        <f t="shared" si="19"/>
        <v>22.3</v>
      </c>
      <c r="M76" s="17" t="str">
        <f t="array" ref="M76">SUMPRODUCT((COUNTIFS(CONSTANTS!$I$105:$I$323,$E76,CONSTANTS!$D$105:$D$323,CONSTANTS!$A$57:$A$63)&gt;0)*1)</f>
        <v>2</v>
      </c>
      <c r="N76" s="17" t="str">
        <f>MAXIFS(CONSTANTS!$C$105:$C$323,CONSTANTS!$I$105:$I$323,$E76)</f>
        <v>0</v>
      </c>
      <c r="O76" s="17" t="str">
        <f>SUMIFS(CONSTANTS!$J$105:$J$323,CONSTANTS!$I$105:$I$323,$E76)</f>
        <v>122</v>
      </c>
    </row>
    <row r="77" ht="14.25" customHeight="1">
      <c r="A77" s="8">
        <v>3.0</v>
      </c>
      <c r="B77" s="8" t="s">
        <v>159</v>
      </c>
      <c r="C77" s="8">
        <v>5.0</v>
      </c>
      <c r="D77" s="6">
        <v>21.0</v>
      </c>
      <c r="E77" s="16" t="str">
        <f t="shared" si="16"/>
        <v>3-5</v>
      </c>
      <c r="F77" s="17" t="str">
        <f>SUMIFS(CONSTANTS!$E$105:$E$323,CONSTANTS!$I$105:$I$323,$E77)</f>
        <v>8</v>
      </c>
      <c r="G77" s="17" t="str">
        <f>SUMIFS(CONSTANTS!$K$105:$K$323,CONSTANTS!$I$105:$I$323,$E77)</f>
        <v>140</v>
      </c>
      <c r="H77" s="17" t="str">
        <f>SUMIFS(CONSTANTS!$L$105:$L$323,CONSTANTS!$I$105:$I$323,$E77)</f>
        <v>265</v>
      </c>
      <c r="I77" s="17" t="str">
        <f>MAXIFS(CONSTANTS!$M$105:$M$323,CONSTANTS!$I$105:$I$323,$E77)</f>
        <v>5</v>
      </c>
      <c r="J77" s="17" t="str">
        <f t="shared" si="17"/>
        <v>5</v>
      </c>
      <c r="K77" s="18" t="str">
        <f t="shared" si="18"/>
        <v>53.1</v>
      </c>
      <c r="L77" s="27" t="str">
        <f t="shared" si="19"/>
        <v>16.4</v>
      </c>
      <c r="M77" s="17" t="str">
        <f t="array" ref="M77">SUMPRODUCT((COUNTIFS(CONSTANTS!$I$105:$I$323,$E77,CONSTANTS!$D$105:$D$323,CONSTANTS!$A$57:$A$63)&gt;0)*1)</f>
        <v>2</v>
      </c>
      <c r="N77" s="17" t="str">
        <f>MAXIFS(CONSTANTS!$C$105:$C$323,CONSTANTS!$I$105:$I$323,$E77)</f>
        <v>100</v>
      </c>
      <c r="O77" s="17" t="str">
        <f>SUMIFS(CONSTANTS!$J$105:$J$323,CONSTANTS!$I$105:$I$323,$E77)</f>
        <v>88</v>
      </c>
    </row>
    <row r="78" ht="14.25" customHeight="1">
      <c r="A78" s="8">
        <v>3.0</v>
      </c>
      <c r="B78" s="8" t="s">
        <v>159</v>
      </c>
      <c r="C78" s="8">
        <v>6.0</v>
      </c>
      <c r="D78" s="6">
        <v>22.0</v>
      </c>
      <c r="E78" s="16" t="str">
        <f t="shared" si="16"/>
        <v>3-6</v>
      </c>
      <c r="F78" s="17" t="str">
        <f>SUMIFS(CONSTANTS!$E$105:$E$323,CONSTANTS!$I$105:$I$323,$E78)</f>
        <v>7</v>
      </c>
      <c r="G78" s="17" t="str">
        <f>SUMIFS(CONSTANTS!$K$105:$K$323,CONSTANTS!$I$105:$I$323,$E78)</f>
        <v>150</v>
      </c>
      <c r="H78" s="17" t="str">
        <f>SUMIFS(CONSTANTS!$L$105:$L$323,CONSTANTS!$I$105:$I$323,$E78)</f>
        <v>298</v>
      </c>
      <c r="I78" s="17" t="str">
        <f>MAXIFS(CONSTANTS!$M$105:$M$323,CONSTANTS!$I$105:$I$323,$E78)</f>
        <v>8</v>
      </c>
      <c r="J78" s="17" t="str">
        <f t="shared" si="17"/>
        <v>8</v>
      </c>
      <c r="K78" s="18" t="str">
        <f t="shared" si="18"/>
        <v>37.2</v>
      </c>
      <c r="L78" s="27" t="str">
        <f t="shared" si="19"/>
        <v>18.3</v>
      </c>
      <c r="M78" s="17" t="str">
        <f t="array" ref="M78">SUMPRODUCT((COUNTIFS(CONSTANTS!$I$105:$I$323,$E78,CONSTANTS!$D$105:$D$323,CONSTANTS!$A$57:$A$63)&gt;0)*1)</f>
        <v>3</v>
      </c>
      <c r="N78" s="17" t="str">
        <f>MAXIFS(CONSTANTS!$C$105:$C$323,CONSTANTS!$I$105:$I$323,$E78)</f>
        <v>0</v>
      </c>
      <c r="O78" s="17" t="str">
        <f>SUMIFS(CONSTANTS!$J$105:$J$323,CONSTANTS!$I$105:$I$323,$E78)</f>
        <v>90</v>
      </c>
    </row>
    <row r="79" ht="14.25" customHeight="1">
      <c r="A79" s="8">
        <v>3.0</v>
      </c>
      <c r="B79" s="8" t="s">
        <v>159</v>
      </c>
      <c r="C79" s="8">
        <v>7.0</v>
      </c>
      <c r="D79" s="6">
        <v>23.0</v>
      </c>
      <c r="E79" s="16" t="str">
        <f t="shared" si="16"/>
        <v>3-7</v>
      </c>
      <c r="F79" s="17" t="str">
        <f>SUMIFS(CONSTANTS!$E$105:$E$323,CONSTANTS!$I$105:$I$323,$E79)</f>
        <v>5</v>
      </c>
      <c r="G79" s="17" t="str">
        <f>SUMIFS(CONSTANTS!$K$105:$K$323,CONSTANTS!$I$105:$I$323,$E79)</f>
        <v>90</v>
      </c>
      <c r="H79" s="17" t="str">
        <f>SUMIFS(CONSTANTS!$L$105:$L$323,CONSTANTS!$I$105:$I$323,$E79)</f>
        <v>216</v>
      </c>
      <c r="I79" s="17" t="str">
        <f>MAXIFS(CONSTANTS!$M$105:$M$323,CONSTANTS!$I$105:$I$323,$E79)</f>
        <v>14</v>
      </c>
      <c r="J79" s="17" t="str">
        <f t="shared" si="17"/>
        <v>14</v>
      </c>
      <c r="K79" s="18" t="str">
        <f t="shared" si="18"/>
        <v>15.4</v>
      </c>
      <c r="L79" s="27" t="str">
        <f t="shared" si="19"/>
        <v>13.3</v>
      </c>
      <c r="M79" s="17" t="str">
        <f t="array" ref="M79">SUMPRODUCT((COUNTIFS(CONSTANTS!$I$105:$I$323,$E79,CONSTANTS!$D$105:$D$323,CONSTANTS!$A$57:$A$63)&gt;0)*1)</f>
        <v>3</v>
      </c>
      <c r="N79" s="17" t="str">
        <f>MAXIFS(CONSTANTS!$C$105:$C$323,CONSTANTS!$I$105:$I$323,$E79)</f>
        <v>200</v>
      </c>
      <c r="O79" s="17" t="str">
        <f>SUMIFS(CONSTANTS!$J$105:$J$323,CONSTANTS!$I$105:$I$323,$E79)</f>
        <v>64</v>
      </c>
    </row>
    <row r="80" ht="14.25" customHeight="1">
      <c r="A80" s="8">
        <v>3.0</v>
      </c>
      <c r="B80" s="8" t="s">
        <v>159</v>
      </c>
      <c r="C80" s="8">
        <v>8.0</v>
      </c>
      <c r="D80" s="6">
        <v>24.0</v>
      </c>
      <c r="E80" s="16" t="str">
        <f t="shared" si="16"/>
        <v>3-8</v>
      </c>
      <c r="F80" s="17" t="str">
        <f>SUMIFS(CONSTANTS!$E$105:$E$323,CONSTANTS!$I$105:$I$323,$E80)</f>
        <v>12</v>
      </c>
      <c r="G80" s="17" t="str">
        <f>SUMIFS(CONSTANTS!$K$105:$K$323,CONSTANTS!$I$105:$I$323,$E80)</f>
        <v>280</v>
      </c>
      <c r="H80" s="17" t="str">
        <f>SUMIFS(CONSTANTS!$L$105:$L$323,CONSTANTS!$I$105:$I$323,$E80)</f>
        <v>551</v>
      </c>
      <c r="I80" s="17" t="str">
        <f>MAXIFS(CONSTANTS!$M$105:$M$323,CONSTANTS!$I$105:$I$323,$E80)</f>
        <v>6</v>
      </c>
      <c r="J80" s="17" t="str">
        <f t="shared" si="17"/>
        <v>6</v>
      </c>
      <c r="K80" s="18" t="str">
        <f t="shared" si="18"/>
        <v>91.8</v>
      </c>
      <c r="L80" s="27" t="str">
        <f t="shared" si="19"/>
        <v>33.9</v>
      </c>
      <c r="M80" s="17" t="str">
        <f t="array" ref="M80">SUMPRODUCT((COUNTIFS(CONSTANTS!$I$105:$I$323,$E80,CONSTANTS!$D$105:$D$323,CONSTANTS!$A$57:$A$63)&gt;0)*1)</f>
        <v>2</v>
      </c>
      <c r="N80" s="17" t="str">
        <f>MAXIFS(CONSTANTS!$C$105:$C$323,CONSTANTS!$I$105:$I$323,$E80)</f>
        <v>100</v>
      </c>
      <c r="O80" s="17" t="str">
        <f>SUMIFS(CONSTANTS!$J$105:$J$323,CONSTANTS!$I$105:$I$323,$E80)</f>
        <v>152</v>
      </c>
    </row>
    <row r="81" ht="14.25" customHeight="1">
      <c r="A81" s="8">
        <v>3.0</v>
      </c>
      <c r="B81" s="8" t="s">
        <v>159</v>
      </c>
      <c r="C81" s="8">
        <v>9.0</v>
      </c>
      <c r="D81" s="6">
        <v>25.0</v>
      </c>
      <c r="E81" s="16" t="str">
        <f t="shared" si="16"/>
        <v>3-9</v>
      </c>
      <c r="F81" s="17" t="str">
        <f>SUMIFS(CONSTANTS!$E$105:$E$323,CONSTANTS!$I$105:$I$323,$E81)</f>
        <v>8</v>
      </c>
      <c r="G81" s="17" t="str">
        <f>SUMIFS(CONSTANTS!$K$105:$K$323,CONSTANTS!$I$105:$I$323,$E81)</f>
        <v>160</v>
      </c>
      <c r="H81" s="17" t="str">
        <f>SUMIFS(CONSTANTS!$L$105:$L$323,CONSTANTS!$I$105:$I$323,$E81)</f>
        <v>346</v>
      </c>
      <c r="I81" s="17" t="str">
        <f>MAXIFS(CONSTANTS!$M$105:$M$323,CONSTANTS!$I$105:$I$323,$E81)</f>
        <v>6</v>
      </c>
      <c r="J81" s="17" t="str">
        <f t="shared" si="17"/>
        <v>6</v>
      </c>
      <c r="K81" s="18" t="str">
        <f t="shared" si="18"/>
        <v>57.6</v>
      </c>
      <c r="L81" s="27" t="str">
        <f t="shared" si="19"/>
        <v>21.3</v>
      </c>
      <c r="M81" s="17" t="str">
        <f t="array" ref="M81">SUMPRODUCT((COUNTIFS(CONSTANTS!$I$105:$I$323,$E81,CONSTANTS!$D$105:$D$323,CONSTANTS!$A$57:$A$63)&gt;0)*1)</f>
        <v>2</v>
      </c>
      <c r="N81" s="17" t="str">
        <f>MAXIFS(CONSTANTS!$C$105:$C$323,CONSTANTS!$I$105:$I$323,$E81)</f>
        <v>200</v>
      </c>
      <c r="O81" s="17" t="str">
        <f>SUMIFS(CONSTANTS!$J$105:$J$323,CONSTANTS!$I$105:$I$323,$E81)</f>
        <v>128</v>
      </c>
    </row>
    <row r="82" ht="14.25" customHeight="1">
      <c r="A82" s="8">
        <v>3.0</v>
      </c>
      <c r="B82" s="8" t="s">
        <v>159</v>
      </c>
      <c r="C82" s="8">
        <v>10.0</v>
      </c>
      <c r="D82" s="6">
        <v>26.0</v>
      </c>
      <c r="E82" s="16" t="str">
        <f t="shared" si="16"/>
        <v>3-10</v>
      </c>
      <c r="F82" s="17" t="str">
        <f>SUMIFS(CONSTANTS!$E$105:$E$323,CONSTANTS!$I$105:$I$323,$E82)</f>
        <v>10</v>
      </c>
      <c r="G82" s="17" t="str">
        <f>SUMIFS(CONSTANTS!$K$105:$K$323,CONSTANTS!$I$105:$I$323,$E82)</f>
        <v>180</v>
      </c>
      <c r="H82" s="17" t="str">
        <f>SUMIFS(CONSTANTS!$L$105:$L$323,CONSTANTS!$I$105:$I$323,$E82)</f>
        <v>411</v>
      </c>
      <c r="I82" s="17" t="str">
        <f>MAXIFS(CONSTANTS!$M$105:$M$323,CONSTANTS!$I$105:$I$323,$E82)</f>
        <v>15</v>
      </c>
      <c r="J82" s="17" t="str">
        <f t="shared" si="17"/>
        <v>15</v>
      </c>
      <c r="K82" s="18" t="str">
        <f t="shared" si="18"/>
        <v>27.4</v>
      </c>
      <c r="L82" s="27" t="str">
        <f t="shared" si="19"/>
        <v>25.4</v>
      </c>
      <c r="M82" s="17" t="str">
        <f t="array" ref="M82">SUMPRODUCT((COUNTIFS(CONSTANTS!$I$105:$I$323,$E82,CONSTANTS!$D$105:$D$323,CONSTANTS!$A$57:$A$63)&gt;0)*1)</f>
        <v>4</v>
      </c>
      <c r="N82" s="17" t="str">
        <f>MAXIFS(CONSTANTS!$C$105:$C$323,CONSTANTS!$I$105:$I$323,$E82)</f>
        <v>100</v>
      </c>
      <c r="O82" s="17" t="str">
        <f>SUMIFS(CONSTANTS!$J$105:$J$323,CONSTANTS!$I$105:$I$323,$E82)</f>
        <v>142</v>
      </c>
    </row>
    <row r="83" ht="14.25" customHeight="1">
      <c r="A83" s="8">
        <v>4.0</v>
      </c>
      <c r="B83" s="8" t="s">
        <v>160</v>
      </c>
      <c r="C83" s="8">
        <v>1.0</v>
      </c>
      <c r="D83" s="6">
        <v>27.0</v>
      </c>
      <c r="E83" s="16" t="str">
        <f t="shared" si="16"/>
        <v>4-1</v>
      </c>
      <c r="F83" s="17" t="str">
        <f>SUMIFS(CONSTANTS!$E$105:$E$323,CONSTANTS!$I$105:$I$323,$E83)</f>
        <v>6</v>
      </c>
      <c r="G83" s="17" t="str">
        <f>SUMIFS(CONSTANTS!$K$105:$K$323,CONSTANTS!$I$105:$I$323,$E83)</f>
        <v>120</v>
      </c>
      <c r="H83" s="17" t="str">
        <f>SUMIFS(CONSTANTS!$L$105:$L$323,CONSTANTS!$I$105:$I$323,$E83)</f>
        <v>221</v>
      </c>
      <c r="I83" s="17" t="str">
        <f>MAXIFS(CONSTANTS!$M$105:$M$323,CONSTANTS!$I$105:$I$323,$E83)</f>
        <v>4</v>
      </c>
      <c r="J83" s="17" t="str">
        <f t="shared" si="17"/>
        <v>4</v>
      </c>
      <c r="K83" s="18" t="str">
        <f t="shared" si="18"/>
        <v>55.2</v>
      </c>
      <c r="L83" s="27" t="str">
        <f t="shared" si="19"/>
        <v>13.6</v>
      </c>
      <c r="M83" s="17" t="str">
        <f t="array" ref="M83">SUMPRODUCT((COUNTIFS(CONSTANTS!$I$105:$I$323,$E83,CONSTANTS!$D$105:$D$323,CONSTANTS!$A$57:$A$63)&gt;0)*1)</f>
        <v>1</v>
      </c>
      <c r="N83" s="17" t="str">
        <f>MAXIFS(CONSTANTS!$C$105:$C$323,CONSTANTS!$I$105:$I$323,$E83)</f>
        <v>0</v>
      </c>
      <c r="O83" s="17" t="str">
        <f>SUMIFS(CONSTANTS!$J$105:$J$323,CONSTANTS!$I$105:$I$323,$E83)</f>
        <v>60</v>
      </c>
    </row>
    <row r="84" ht="14.25" customHeight="1">
      <c r="A84" s="8">
        <v>4.0</v>
      </c>
      <c r="B84" s="8" t="s">
        <v>160</v>
      </c>
      <c r="C84" s="8">
        <v>2.0</v>
      </c>
      <c r="D84" s="6">
        <v>28.0</v>
      </c>
      <c r="E84" s="16" t="str">
        <f t="shared" si="16"/>
        <v>4-2</v>
      </c>
      <c r="F84" s="17" t="str">
        <f>SUMIFS(CONSTANTS!$E$105:$E$323,CONSTANTS!$I$105:$I$323,$E84)</f>
        <v>8</v>
      </c>
      <c r="G84" s="17" t="str">
        <f>SUMIFS(CONSTANTS!$K$105:$K$323,CONSTANTS!$I$105:$I$323,$E84)</f>
        <v>170</v>
      </c>
      <c r="H84" s="17" t="str">
        <f>SUMIFS(CONSTANTS!$L$105:$L$323,CONSTANTS!$I$105:$I$323,$E84)</f>
        <v>322</v>
      </c>
      <c r="I84" s="17" t="str">
        <f>MAXIFS(CONSTANTS!$M$105:$M$323,CONSTANTS!$I$105:$I$323,$E84)</f>
        <v>5</v>
      </c>
      <c r="J84" s="17" t="str">
        <f t="shared" si="17"/>
        <v>5</v>
      </c>
      <c r="K84" s="18" t="str">
        <f t="shared" si="18"/>
        <v>64.3</v>
      </c>
      <c r="L84" s="27" t="str">
        <f t="shared" si="19"/>
        <v>19.8</v>
      </c>
      <c r="M84" s="17" t="str">
        <f t="array" ref="M84">SUMPRODUCT((COUNTIFS(CONSTANTS!$I$105:$I$323,$E84,CONSTANTS!$D$105:$D$323,CONSTANTS!$A$57:$A$63)&gt;0)*1)</f>
        <v>2</v>
      </c>
      <c r="N84" s="17" t="str">
        <f>MAXIFS(CONSTANTS!$C$105:$C$323,CONSTANTS!$I$105:$I$323,$E84)</f>
        <v>0</v>
      </c>
      <c r="O84" s="17" t="str">
        <f>SUMIFS(CONSTANTS!$J$105:$J$323,CONSTANTS!$I$105:$I$323,$E84)</f>
        <v>88</v>
      </c>
    </row>
    <row r="85" ht="14.25" customHeight="1">
      <c r="A85" s="8">
        <v>4.0</v>
      </c>
      <c r="B85" s="8" t="s">
        <v>160</v>
      </c>
      <c r="C85" s="8">
        <v>3.0</v>
      </c>
      <c r="D85" s="6">
        <v>29.0</v>
      </c>
      <c r="E85" s="16" t="str">
        <f t="shared" si="16"/>
        <v>4-3</v>
      </c>
      <c r="F85" s="17" t="str">
        <f>SUMIFS(CONSTANTS!$E$105:$E$323,CONSTANTS!$I$105:$I$323,$E85)</f>
        <v>11</v>
      </c>
      <c r="G85" s="17" t="str">
        <f>SUMIFS(CONSTANTS!$K$105:$K$323,CONSTANTS!$I$105:$I$323,$E85)</f>
        <v>280</v>
      </c>
      <c r="H85" s="17" t="str">
        <f>SUMIFS(CONSTANTS!$L$105:$L$323,CONSTANTS!$I$105:$I$323,$E85)</f>
        <v>813</v>
      </c>
      <c r="I85" s="17" t="str">
        <f>MAXIFS(CONSTANTS!$M$105:$M$323,CONSTANTS!$I$105:$I$323,$E85)</f>
        <v>5</v>
      </c>
      <c r="J85" s="17" t="str">
        <f t="shared" si="17"/>
        <v>5</v>
      </c>
      <c r="K85" s="18" t="str">
        <f t="shared" si="18"/>
        <v>162.6</v>
      </c>
      <c r="L85" s="27" t="str">
        <f t="shared" si="19"/>
        <v>50.1</v>
      </c>
      <c r="M85" s="17" t="str">
        <f t="array" ref="M85">SUMPRODUCT((COUNTIFS(CONSTANTS!$I$105:$I$323,$E85,CONSTANTS!$D$105:$D$323,CONSTANTS!$A$57:$A$63)&gt;0)*1)</f>
        <v>3</v>
      </c>
      <c r="N85" s="17" t="str">
        <f>MAXIFS(CONSTANTS!$C$105:$C$323,CONSTANTS!$I$105:$I$323,$E85)</f>
        <v>100</v>
      </c>
      <c r="O85" s="17" t="str">
        <f>SUMIFS(CONSTANTS!$J$105:$J$323,CONSTANTS!$I$105:$I$323,$E85)</f>
        <v>194</v>
      </c>
    </row>
    <row r="86" ht="14.25" customHeight="1">
      <c r="A86" s="8">
        <v>4.0</v>
      </c>
      <c r="B86" s="8" t="s">
        <v>160</v>
      </c>
      <c r="C86" s="8">
        <v>4.0</v>
      </c>
      <c r="D86" s="6">
        <v>30.0</v>
      </c>
      <c r="E86" s="16" t="str">
        <f t="shared" si="16"/>
        <v>4-4</v>
      </c>
      <c r="F86" s="17" t="str">
        <f>SUMIFS(CONSTANTS!$E$105:$E$323,CONSTANTS!$I$105:$I$323,$E86)</f>
        <v>9</v>
      </c>
      <c r="G86" s="17" t="str">
        <f>SUMIFS(CONSTANTS!$K$105:$K$323,CONSTANTS!$I$105:$I$323,$E86)</f>
        <v>210</v>
      </c>
      <c r="H86" s="17" t="str">
        <f>SUMIFS(CONSTANTS!$L$105:$L$323,CONSTANTS!$I$105:$I$323,$E86)</f>
        <v>413</v>
      </c>
      <c r="I86" s="17" t="str">
        <f>MAXIFS(CONSTANTS!$M$105:$M$323,CONSTANTS!$I$105:$I$323,$E86)</f>
        <v>5</v>
      </c>
      <c r="J86" s="17" t="str">
        <f t="shared" si="17"/>
        <v>5</v>
      </c>
      <c r="K86" s="18" t="str">
        <f t="shared" si="18"/>
        <v>82.6</v>
      </c>
      <c r="L86" s="27" t="str">
        <f t="shared" si="19"/>
        <v>25.4</v>
      </c>
      <c r="M86" s="17" t="str">
        <f t="array" ref="M86">SUMPRODUCT((COUNTIFS(CONSTANTS!$I$105:$I$323,$E86,CONSTANTS!$D$105:$D$323,CONSTANTS!$A$57:$A$63)&gt;0)*1)</f>
        <v>2</v>
      </c>
      <c r="N86" s="17" t="str">
        <f>MAXIFS(CONSTANTS!$C$105:$C$323,CONSTANTS!$I$105:$I$323,$E86)</f>
        <v>0</v>
      </c>
      <c r="O86" s="17" t="str">
        <f>SUMIFS(CONSTANTS!$J$105:$J$323,CONSTANTS!$I$105:$I$323,$E86)</f>
        <v>114</v>
      </c>
    </row>
    <row r="87" ht="14.25" customHeight="1">
      <c r="A87" s="8">
        <v>4.0</v>
      </c>
      <c r="B87" s="8" t="s">
        <v>160</v>
      </c>
      <c r="C87" s="8">
        <v>5.0</v>
      </c>
      <c r="D87" s="6">
        <v>31.0</v>
      </c>
      <c r="E87" s="16" t="str">
        <f t="shared" si="16"/>
        <v>4-5</v>
      </c>
      <c r="F87" s="17" t="str">
        <f>SUMIFS(CONSTANTS!$E$105:$E$323,CONSTANTS!$I$105:$I$323,$E87)</f>
        <v>10</v>
      </c>
      <c r="G87" s="17" t="str">
        <f>SUMIFS(CONSTANTS!$K$105:$K$323,CONSTANTS!$I$105:$I$323,$E87)</f>
        <v>170</v>
      </c>
      <c r="H87" s="17" t="str">
        <f>SUMIFS(CONSTANTS!$L$105:$L$323,CONSTANTS!$I$105:$I$323,$E87)</f>
        <v>324</v>
      </c>
      <c r="I87" s="17" t="str">
        <f>MAXIFS(CONSTANTS!$M$105:$M$323,CONSTANTS!$I$105:$I$323,$E87)</f>
        <v>5</v>
      </c>
      <c r="J87" s="17" t="str">
        <f t="shared" si="17"/>
        <v>5</v>
      </c>
      <c r="K87" s="18" t="str">
        <f t="shared" si="18"/>
        <v>64.9</v>
      </c>
      <c r="L87" s="27" t="str">
        <f t="shared" si="19"/>
        <v>20.0</v>
      </c>
      <c r="M87" s="17" t="str">
        <f t="array" ref="M87">SUMPRODUCT((COUNTIFS(CONSTANTS!$I$105:$I$323,$E87,CONSTANTS!$D$105:$D$323,CONSTANTS!$A$57:$A$63)&gt;0)*1)</f>
        <v>2</v>
      </c>
      <c r="N87" s="17" t="str">
        <f>MAXIFS(CONSTANTS!$C$105:$C$323,CONSTANTS!$I$105:$I$323,$E87)</f>
        <v>100</v>
      </c>
      <c r="O87" s="17" t="str">
        <f>SUMIFS(CONSTANTS!$J$105:$J$323,CONSTANTS!$I$105:$I$323,$E87)</f>
        <v>112</v>
      </c>
    </row>
    <row r="88" ht="14.25" customHeight="1">
      <c r="A88" s="8">
        <v>4.0</v>
      </c>
      <c r="B88" s="8" t="s">
        <v>160</v>
      </c>
      <c r="C88" s="8">
        <v>6.0</v>
      </c>
      <c r="D88" s="6">
        <v>32.0</v>
      </c>
      <c r="E88" s="16" t="str">
        <f t="shared" si="16"/>
        <v>4-6</v>
      </c>
      <c r="F88" s="17" t="str">
        <f>SUMIFS(CONSTANTS!$E$105:$E$323,CONSTANTS!$I$105:$I$323,$E88)</f>
        <v>11</v>
      </c>
      <c r="G88" s="17" t="str">
        <f>SUMIFS(CONSTANTS!$K$105:$K$323,CONSTANTS!$I$105:$I$323,$E88)</f>
        <v>230</v>
      </c>
      <c r="H88" s="17" t="str">
        <f>SUMIFS(CONSTANTS!$L$105:$L$323,CONSTANTS!$I$105:$I$323,$E88)</f>
        <v>458</v>
      </c>
      <c r="I88" s="17" t="str">
        <f>MAXIFS(CONSTANTS!$M$105:$M$323,CONSTANTS!$I$105:$I$323,$E88)</f>
        <v>8</v>
      </c>
      <c r="J88" s="17" t="str">
        <f t="shared" si="17"/>
        <v>8</v>
      </c>
      <c r="K88" s="18" t="str">
        <f t="shared" si="18"/>
        <v>57.2</v>
      </c>
      <c r="L88" s="27" t="str">
        <f t="shared" si="19"/>
        <v>28.2</v>
      </c>
      <c r="M88" s="17" t="str">
        <f t="array" ref="M88">SUMPRODUCT((COUNTIFS(CONSTANTS!$I$105:$I$323,$E88,CONSTANTS!$D$105:$D$323,CONSTANTS!$A$57:$A$63)&gt;0)*1)</f>
        <v>3</v>
      </c>
      <c r="N88" s="17" t="str">
        <f>MAXIFS(CONSTANTS!$C$105:$C$323,CONSTANTS!$I$105:$I$323,$E88)</f>
        <v>0</v>
      </c>
      <c r="O88" s="17" t="str">
        <f>SUMIFS(CONSTANTS!$J$105:$J$323,CONSTANTS!$I$105:$I$323,$E88)</f>
        <v>142</v>
      </c>
    </row>
    <row r="89" ht="14.25" customHeight="1">
      <c r="A89" s="8">
        <v>4.0</v>
      </c>
      <c r="B89" s="8" t="s">
        <v>160</v>
      </c>
      <c r="C89" s="8">
        <v>7.0</v>
      </c>
      <c r="D89" s="6">
        <v>33.0</v>
      </c>
      <c r="E89" s="16" t="str">
        <f t="shared" si="16"/>
        <v>4-7</v>
      </c>
      <c r="F89" s="17" t="str">
        <f>SUMIFS(CONSTANTS!$E$105:$E$323,CONSTANTS!$I$105:$I$323,$E89)</f>
        <v>11</v>
      </c>
      <c r="G89" s="17" t="str">
        <f>SUMIFS(CONSTANTS!$K$105:$K$323,CONSTANTS!$I$105:$I$323,$E89)</f>
        <v>230</v>
      </c>
      <c r="H89" s="17" t="str">
        <f>SUMIFS(CONSTANTS!$L$105:$L$323,CONSTANTS!$I$105:$I$323,$E89)</f>
        <v>680</v>
      </c>
      <c r="I89" s="17" t="str">
        <f>MAXIFS(CONSTANTS!$M$105:$M$323,CONSTANTS!$I$105:$I$323,$E89)</f>
        <v>14</v>
      </c>
      <c r="J89" s="17" t="str">
        <f t="shared" si="17"/>
        <v>14</v>
      </c>
      <c r="K89" s="18" t="str">
        <f t="shared" si="18"/>
        <v>48.6</v>
      </c>
      <c r="L89" s="27" t="str">
        <f t="shared" si="19"/>
        <v>41.9</v>
      </c>
      <c r="M89" s="17" t="str">
        <f t="array" ref="M89">SUMPRODUCT((COUNTIFS(CONSTANTS!$I$105:$I$323,$E89,CONSTANTS!$D$105:$D$323,CONSTANTS!$A$57:$A$63)&gt;0)*1)</f>
        <v>5</v>
      </c>
      <c r="N89" s="17" t="str">
        <f>MAXIFS(CONSTANTS!$C$105:$C$323,CONSTANTS!$I$105:$I$323,$E89)</f>
        <v>0</v>
      </c>
      <c r="O89" s="17" t="str">
        <f>SUMIFS(CONSTANTS!$J$105:$J$323,CONSTANTS!$I$105:$I$323,$E89)</f>
        <v>188</v>
      </c>
    </row>
    <row r="90" ht="14.25" customHeight="1">
      <c r="A90" s="8">
        <v>4.0</v>
      </c>
      <c r="B90" s="8" t="s">
        <v>160</v>
      </c>
      <c r="C90" s="8">
        <v>8.0</v>
      </c>
      <c r="D90" s="6">
        <v>34.0</v>
      </c>
      <c r="E90" s="16" t="str">
        <f t="shared" si="16"/>
        <v>4-8</v>
      </c>
      <c r="F90" s="17" t="str">
        <f>SUMIFS(CONSTANTS!$E$105:$E$323,CONSTANTS!$I$105:$I$323,$E90)</f>
        <v>12</v>
      </c>
      <c r="G90" s="17" t="str">
        <f>SUMIFS(CONSTANTS!$K$105:$K$323,CONSTANTS!$I$105:$I$323,$E90)</f>
        <v>280</v>
      </c>
      <c r="H90" s="17" t="str">
        <f>SUMIFS(CONSTANTS!$L$105:$L$323,CONSTANTS!$I$105:$I$323,$E90)</f>
        <v>551</v>
      </c>
      <c r="I90" s="17" t="str">
        <f>MAXIFS(CONSTANTS!$M$105:$M$323,CONSTANTS!$I$105:$I$323,$E90)</f>
        <v>6</v>
      </c>
      <c r="J90" s="17" t="str">
        <f t="shared" si="17"/>
        <v>6</v>
      </c>
      <c r="K90" s="18" t="str">
        <f t="shared" si="18"/>
        <v>91.8</v>
      </c>
      <c r="L90" s="27" t="str">
        <f t="shared" si="19"/>
        <v>33.9</v>
      </c>
      <c r="M90" s="17" t="str">
        <f t="array" ref="M90">SUMPRODUCT((COUNTIFS(CONSTANTS!$I$105:$I$323,$E90,CONSTANTS!$D$105:$D$323,CONSTANTS!$A$57:$A$63)&gt;0)*1)</f>
        <v>2</v>
      </c>
      <c r="N90" s="17" t="str">
        <f>MAXIFS(CONSTANTS!$C$105:$C$323,CONSTANTS!$I$105:$I$323,$E90)</f>
        <v>100</v>
      </c>
      <c r="O90" s="17" t="str">
        <f>SUMIFS(CONSTANTS!$J$105:$J$323,CONSTANTS!$I$105:$I$323,$E90)</f>
        <v>152</v>
      </c>
    </row>
    <row r="91" ht="14.25" customHeight="1">
      <c r="A91" s="8">
        <v>4.0</v>
      </c>
      <c r="B91" s="8" t="s">
        <v>160</v>
      </c>
      <c r="C91" s="8">
        <v>9.0</v>
      </c>
      <c r="D91" s="6">
        <v>35.0</v>
      </c>
      <c r="E91" s="16" t="str">
        <f t="shared" si="16"/>
        <v>4-9</v>
      </c>
      <c r="F91" s="17" t="str">
        <f>SUMIFS(CONSTANTS!$E$105:$E$323,CONSTANTS!$I$105:$I$323,$E91)</f>
        <v>12</v>
      </c>
      <c r="G91" s="17" t="str">
        <f>SUMIFS(CONSTANTS!$K$105:$K$323,CONSTANTS!$I$105:$I$323,$E91)</f>
        <v>200</v>
      </c>
      <c r="H91" s="17" t="str">
        <f>SUMIFS(CONSTANTS!$L$105:$L$323,CONSTANTS!$I$105:$I$323,$E91)</f>
        <v>384</v>
      </c>
      <c r="I91" s="17" t="str">
        <f>MAXIFS(CONSTANTS!$M$105:$M$323,CONSTANTS!$I$105:$I$323,$E91)</f>
        <v>6</v>
      </c>
      <c r="J91" s="17" t="str">
        <f t="shared" si="17"/>
        <v>6</v>
      </c>
      <c r="K91" s="18" t="str">
        <f t="shared" si="18"/>
        <v>63.9</v>
      </c>
      <c r="L91" s="27" t="str">
        <f t="shared" si="19"/>
        <v>23.6</v>
      </c>
      <c r="M91" s="17" t="str">
        <f t="array" ref="M91">SUMPRODUCT((COUNTIFS(CONSTANTS!$I$105:$I$323,$E91,CONSTANTS!$D$105:$D$323,CONSTANTS!$A$57:$A$63)&gt;0)*1)</f>
        <v>2</v>
      </c>
      <c r="N91" s="17" t="str">
        <f>MAXIFS(CONSTANTS!$C$105:$C$323,CONSTANTS!$I$105:$I$323,$E91)</f>
        <v>200</v>
      </c>
      <c r="O91" s="17" t="str">
        <f>SUMIFS(CONSTANTS!$J$105:$J$323,CONSTANTS!$I$105:$I$323,$E91)</f>
        <v>136</v>
      </c>
    </row>
    <row r="92" ht="14.25" customHeight="1">
      <c r="A92" s="8">
        <v>4.0</v>
      </c>
      <c r="B92" s="8" t="s">
        <v>160</v>
      </c>
      <c r="C92" s="8">
        <v>10.0</v>
      </c>
      <c r="D92" s="6">
        <v>36.0</v>
      </c>
      <c r="E92" s="16" t="str">
        <f t="shared" si="16"/>
        <v>4-10</v>
      </c>
      <c r="F92" s="17" t="str">
        <f>SUMIFS(CONSTANTS!$E$105:$E$323,CONSTANTS!$I$105:$I$323,$E92)</f>
        <v>13</v>
      </c>
      <c r="G92" s="17" t="str">
        <f>SUMIFS(CONSTANTS!$K$105:$K$323,CONSTANTS!$I$105:$I$323,$E92)</f>
        <v>310</v>
      </c>
      <c r="H92" s="17" t="str">
        <f>SUMIFS(CONSTANTS!$L$105:$L$323,CONSTANTS!$I$105:$I$323,$E92)</f>
        <v>942</v>
      </c>
      <c r="I92" s="17" t="str">
        <f>MAXIFS(CONSTANTS!$M$105:$M$323,CONSTANTS!$I$105:$I$323,$E92)</f>
        <v>14</v>
      </c>
      <c r="J92" s="17" t="str">
        <f t="shared" si="17"/>
        <v>14</v>
      </c>
      <c r="K92" s="18" t="str">
        <f t="shared" si="18"/>
        <v>67.3</v>
      </c>
      <c r="L92" s="27" t="str">
        <f t="shared" si="19"/>
        <v>58.1</v>
      </c>
      <c r="M92" s="17" t="str">
        <f t="array" ref="M92">SUMPRODUCT((COUNTIFS(CONSTANTS!$I$105:$I$323,$E92,CONSTANTS!$D$105:$D$323,CONSTANTS!$A$57:$A$63)&gt;0)*1)</f>
        <v>5</v>
      </c>
      <c r="N92" s="17" t="str">
        <f>MAXIFS(CONSTANTS!$C$105:$C$323,CONSTANTS!$I$105:$I$323,$E92)</f>
        <v>100</v>
      </c>
      <c r="O92" s="17" t="str">
        <f>SUMIFS(CONSTANTS!$J$105:$J$323,CONSTANTS!$I$105:$I$323,$E92)</f>
        <v>233</v>
      </c>
    </row>
    <row r="93" ht="14.25" customHeight="1">
      <c r="A93" s="8">
        <v>5.0</v>
      </c>
      <c r="B93" s="8" t="s">
        <v>161</v>
      </c>
      <c r="C93" s="8">
        <v>1.0</v>
      </c>
      <c r="D93" s="6">
        <v>37.0</v>
      </c>
      <c r="E93" s="16" t="str">
        <f t="shared" si="16"/>
        <v>5-1</v>
      </c>
      <c r="F93" s="17" t="str">
        <f>SUMIFS(CONSTANTS!$E$105:$E$323,CONSTANTS!$I$105:$I$323,$E93)</f>
        <v>6</v>
      </c>
      <c r="G93" s="17" t="str">
        <f>SUMIFS(CONSTANTS!$K$105:$K$323,CONSTANTS!$I$105:$I$323,$E93)</f>
        <v>120</v>
      </c>
      <c r="H93" s="17" t="str">
        <f>SUMIFS(CONSTANTS!$L$105:$L$323,CONSTANTS!$I$105:$I$323,$E93)</f>
        <v>221</v>
      </c>
      <c r="I93" s="17" t="str">
        <f>MAXIFS(CONSTANTS!$M$105:$M$323,CONSTANTS!$I$105:$I$323,$E93)</f>
        <v>5</v>
      </c>
      <c r="J93" s="17" t="str">
        <f t="shared" si="17"/>
        <v>5</v>
      </c>
      <c r="K93" s="18" t="str">
        <f t="shared" si="18"/>
        <v>44.1</v>
      </c>
      <c r="L93" s="27" t="str">
        <f t="shared" si="19"/>
        <v>13.6</v>
      </c>
      <c r="M93" s="17" t="str">
        <f t="array" ref="M93">SUMPRODUCT((COUNTIFS(CONSTANTS!$I$105:$I$323,$E93,CONSTANTS!$D$105:$D$323,CONSTANTS!$A$57:$A$63)&gt;0)*1)</f>
        <v>1</v>
      </c>
      <c r="N93" s="17" t="str">
        <f>MAXIFS(CONSTANTS!$C$105:$C$323,CONSTANTS!$I$105:$I$323,$E93)</f>
        <v>0</v>
      </c>
      <c r="O93" s="17" t="str">
        <f>SUMIFS(CONSTANTS!$J$105:$J$323,CONSTANTS!$I$105:$I$323,$E93)</f>
        <v>60</v>
      </c>
    </row>
    <row r="94" ht="14.25" customHeight="1">
      <c r="A94" s="8">
        <v>5.0</v>
      </c>
      <c r="B94" s="8" t="s">
        <v>161</v>
      </c>
      <c r="C94" s="8">
        <v>2.0</v>
      </c>
      <c r="D94" s="6">
        <v>38.0</v>
      </c>
      <c r="E94" s="16" t="str">
        <f t="shared" si="16"/>
        <v>5-2</v>
      </c>
      <c r="F94" s="17" t="str">
        <f>SUMIFS(CONSTANTS!$E$105:$E$323,CONSTANTS!$I$105:$I$323,$E94)</f>
        <v>10</v>
      </c>
      <c r="G94" s="17" t="str">
        <f>SUMIFS(CONSTANTS!$K$105:$K$323,CONSTANTS!$I$105:$I$323,$E94)</f>
        <v>210</v>
      </c>
      <c r="H94" s="17" t="str">
        <f>SUMIFS(CONSTANTS!$L$105:$L$323,CONSTANTS!$I$105:$I$323,$E94)</f>
        <v>395</v>
      </c>
      <c r="I94" s="17" t="str">
        <f>MAXIFS(CONSTANTS!$M$105:$M$323,CONSTANTS!$I$105:$I$323,$E94)</f>
        <v>7</v>
      </c>
      <c r="J94" s="17" t="str">
        <f t="shared" si="17"/>
        <v>7</v>
      </c>
      <c r="K94" s="18" t="str">
        <f t="shared" si="18"/>
        <v>56.4</v>
      </c>
      <c r="L94" s="27" t="str">
        <f t="shared" si="19"/>
        <v>24.3</v>
      </c>
      <c r="M94" s="17" t="str">
        <f t="array" ref="M94">SUMPRODUCT((COUNTIFS(CONSTANTS!$I$105:$I$323,$E94,CONSTANTS!$D$105:$D$323,CONSTANTS!$A$57:$A$63)&gt;0)*1)</f>
        <v>2</v>
      </c>
      <c r="N94" s="17" t="str">
        <f>MAXIFS(CONSTANTS!$C$105:$C$323,CONSTANTS!$I$105:$I$323,$E94)</f>
        <v>0</v>
      </c>
      <c r="O94" s="17" t="str">
        <f>SUMIFS(CONSTANTS!$J$105:$J$323,CONSTANTS!$I$105:$I$323,$E94)</f>
        <v>108</v>
      </c>
    </row>
    <row r="95" ht="14.25" customHeight="1">
      <c r="A95" s="8">
        <v>5.0</v>
      </c>
      <c r="B95" s="8" t="s">
        <v>161</v>
      </c>
      <c r="C95" s="8">
        <v>3.0</v>
      </c>
      <c r="D95" s="6">
        <v>39.0</v>
      </c>
      <c r="E95" s="16" t="str">
        <f t="shared" si="16"/>
        <v>5-3</v>
      </c>
      <c r="F95" s="17" t="str">
        <f>SUMIFS(CONSTANTS!$E$105:$E$323,CONSTANTS!$I$105:$I$323,$E95)</f>
        <v>10</v>
      </c>
      <c r="G95" s="17" t="str">
        <f>SUMIFS(CONSTANTS!$K$105:$K$323,CONSTANTS!$I$105:$I$323,$E95)</f>
        <v>200</v>
      </c>
      <c r="H95" s="17" t="str">
        <f>SUMIFS(CONSTANTS!$L$105:$L$323,CONSTANTS!$I$105:$I$323,$E95)</f>
        <v>407</v>
      </c>
      <c r="I95" s="17" t="str">
        <f>MAXIFS(CONSTANTS!$M$105:$M$323,CONSTANTS!$I$105:$I$323,$E95)</f>
        <v>5</v>
      </c>
      <c r="J95" s="17" t="str">
        <f t="shared" si="17"/>
        <v>5</v>
      </c>
      <c r="K95" s="18" t="str">
        <f t="shared" si="18"/>
        <v>81.3</v>
      </c>
      <c r="L95" s="27" t="str">
        <f t="shared" si="19"/>
        <v>25.0</v>
      </c>
      <c r="M95" s="17" t="str">
        <f t="array" ref="M95">SUMPRODUCT((COUNTIFS(CONSTANTS!$I$105:$I$323,$E95,CONSTANTS!$D$105:$D$323,CONSTANTS!$A$57:$A$63)&gt;0)*1)</f>
        <v>3</v>
      </c>
      <c r="N95" s="17" t="str">
        <f>MAXIFS(CONSTANTS!$C$105:$C$323,CONSTANTS!$I$105:$I$323,$E95)</f>
        <v>100</v>
      </c>
      <c r="O95" s="17" t="str">
        <f>SUMIFS(CONSTANTS!$J$105:$J$323,CONSTANTS!$I$105:$I$323,$E95)</f>
        <v>136</v>
      </c>
    </row>
    <row r="96" ht="14.25" customHeight="1">
      <c r="A96" s="8">
        <v>5.0</v>
      </c>
      <c r="B96" s="8" t="s">
        <v>161</v>
      </c>
      <c r="C96" s="8">
        <v>4.0</v>
      </c>
      <c r="D96" s="6">
        <v>40.0</v>
      </c>
      <c r="E96" s="16" t="str">
        <f t="shared" si="16"/>
        <v>5-4</v>
      </c>
      <c r="F96" s="17" t="str">
        <f>SUMIFS(CONSTANTS!$E$105:$E$323,CONSTANTS!$I$105:$I$323,$E96)</f>
        <v>10</v>
      </c>
      <c r="G96" s="17" t="str">
        <f>SUMIFS(CONSTANTS!$K$105:$K$323,CONSTANTS!$I$105:$I$323,$E96)</f>
        <v>230</v>
      </c>
      <c r="H96" s="17" t="str">
        <f>SUMIFS(CONSTANTS!$L$105:$L$323,CONSTANTS!$I$105:$I$323,$E96)</f>
        <v>450</v>
      </c>
      <c r="I96" s="17" t="str">
        <f>MAXIFS(CONSTANTS!$M$105:$M$323,CONSTANTS!$I$105:$I$323,$E96)</f>
        <v>6</v>
      </c>
      <c r="J96" s="17" t="str">
        <f t="shared" si="17"/>
        <v>6</v>
      </c>
      <c r="K96" s="18" t="str">
        <f t="shared" si="18"/>
        <v>75.0</v>
      </c>
      <c r="L96" s="27" t="str">
        <f t="shared" si="19"/>
        <v>27.7</v>
      </c>
      <c r="M96" s="17" t="str">
        <f t="array" ref="M96">SUMPRODUCT((COUNTIFS(CONSTANTS!$I$105:$I$323,$E96,CONSTANTS!$D$105:$D$323,CONSTANTS!$A$57:$A$63)&gt;0)*1)</f>
        <v>2</v>
      </c>
      <c r="N96" s="17" t="str">
        <f>MAXIFS(CONSTANTS!$C$105:$C$323,CONSTANTS!$I$105:$I$323,$E96)</f>
        <v>100</v>
      </c>
      <c r="O96" s="17" t="str">
        <f>SUMIFS(CONSTANTS!$J$105:$J$323,CONSTANTS!$I$105:$I$323,$E96)</f>
        <v>124</v>
      </c>
    </row>
    <row r="97" ht="14.25" customHeight="1">
      <c r="A97" s="8">
        <v>5.0</v>
      </c>
      <c r="B97" s="8" t="s">
        <v>161</v>
      </c>
      <c r="C97" s="8">
        <v>5.0</v>
      </c>
      <c r="D97" s="6">
        <v>41.0</v>
      </c>
      <c r="E97" s="16" t="str">
        <f t="shared" si="16"/>
        <v>5-5</v>
      </c>
      <c r="F97" s="17" t="str">
        <f>SUMIFS(CONSTANTS!$E$105:$E$323,CONSTANTS!$I$105:$I$323,$E97)</f>
        <v>8</v>
      </c>
      <c r="G97" s="17" t="str">
        <f>SUMIFS(CONSTANTS!$K$105:$K$323,CONSTANTS!$I$105:$I$323,$E97)</f>
        <v>140</v>
      </c>
      <c r="H97" s="17" t="str">
        <f>SUMIFS(CONSTANTS!$L$105:$L$323,CONSTANTS!$I$105:$I$323,$E97)</f>
        <v>265</v>
      </c>
      <c r="I97" s="17" t="str">
        <f>MAXIFS(CONSTANTS!$M$105:$M$323,CONSTANTS!$I$105:$I$323,$E97)</f>
        <v>5</v>
      </c>
      <c r="J97" s="17" t="str">
        <f t="shared" si="17"/>
        <v>5</v>
      </c>
      <c r="K97" s="18" t="str">
        <f t="shared" si="18"/>
        <v>53.1</v>
      </c>
      <c r="L97" s="27" t="str">
        <f t="shared" si="19"/>
        <v>16.4</v>
      </c>
      <c r="M97" s="17" t="str">
        <f t="array" ref="M97">SUMPRODUCT((COUNTIFS(CONSTANTS!$I$105:$I$323,$E97,CONSTANTS!$D$105:$D$323,CONSTANTS!$A$57:$A$63)&gt;0)*1)</f>
        <v>2</v>
      </c>
      <c r="N97" s="17" t="str">
        <f>MAXIFS(CONSTANTS!$C$105:$C$323,CONSTANTS!$I$105:$I$323,$E97)</f>
        <v>100</v>
      </c>
      <c r="O97" s="17" t="str">
        <f>SUMIFS(CONSTANTS!$J$105:$J$323,CONSTANTS!$I$105:$I$323,$E97)</f>
        <v>88</v>
      </c>
    </row>
    <row r="98" ht="14.25" customHeight="1">
      <c r="A98" s="8">
        <v>5.0</v>
      </c>
      <c r="B98" s="8" t="s">
        <v>161</v>
      </c>
      <c r="C98" s="8">
        <v>6.0</v>
      </c>
      <c r="D98" s="6">
        <v>42.0</v>
      </c>
      <c r="E98" s="16" t="str">
        <f t="shared" si="16"/>
        <v>5-6</v>
      </c>
      <c r="F98" s="17" t="str">
        <f>SUMIFS(CONSTANTS!$E$105:$E$323,CONSTANTS!$I$105:$I$323,$E98)</f>
        <v>11</v>
      </c>
      <c r="G98" s="17" t="str">
        <f>SUMIFS(CONSTANTS!$K$105:$K$323,CONSTANTS!$I$105:$I$323,$E98)</f>
        <v>230</v>
      </c>
      <c r="H98" s="17" t="str">
        <f>SUMIFS(CONSTANTS!$L$105:$L$323,CONSTANTS!$I$105:$I$323,$E98)</f>
        <v>458</v>
      </c>
      <c r="I98" s="17" t="str">
        <f>MAXIFS(CONSTANTS!$M$105:$M$323,CONSTANTS!$I$105:$I$323,$E98)</f>
        <v>5</v>
      </c>
      <c r="J98" s="17" t="str">
        <f t="shared" si="17"/>
        <v>5</v>
      </c>
      <c r="K98" s="18" t="str">
        <f t="shared" si="18"/>
        <v>91.5</v>
      </c>
      <c r="L98" s="27" t="str">
        <f t="shared" si="19"/>
        <v>28.2</v>
      </c>
      <c r="M98" s="17" t="str">
        <f t="array" ref="M98">SUMPRODUCT((COUNTIFS(CONSTANTS!$I$105:$I$323,$E98,CONSTANTS!$D$105:$D$323,CONSTANTS!$A$57:$A$63)&gt;0)*1)</f>
        <v>3</v>
      </c>
      <c r="N98" s="17" t="str">
        <f>MAXIFS(CONSTANTS!$C$105:$C$323,CONSTANTS!$I$105:$I$323,$E98)</f>
        <v>100</v>
      </c>
      <c r="O98" s="17" t="str">
        <f>SUMIFS(CONSTANTS!$J$105:$J$323,CONSTANTS!$I$105:$I$323,$E98)</f>
        <v>142</v>
      </c>
    </row>
    <row r="99" ht="14.25" customHeight="1">
      <c r="A99" s="8">
        <v>5.0</v>
      </c>
      <c r="B99" s="8" t="s">
        <v>161</v>
      </c>
      <c r="C99" s="8">
        <v>7.0</v>
      </c>
      <c r="D99" s="6">
        <v>43.0</v>
      </c>
      <c r="E99" s="16" t="str">
        <f t="shared" si="16"/>
        <v>5-7</v>
      </c>
      <c r="F99" s="17" t="str">
        <f>SUMIFS(CONSTANTS!$E$105:$E$323,CONSTANTS!$I$105:$I$323,$E99)</f>
        <v>7</v>
      </c>
      <c r="G99" s="17" t="str">
        <f>SUMIFS(CONSTANTS!$K$105:$K$323,CONSTANTS!$I$105:$I$323,$E99)</f>
        <v>150</v>
      </c>
      <c r="H99" s="17" t="str">
        <f>SUMIFS(CONSTANTS!$L$105:$L$323,CONSTANTS!$I$105:$I$323,$E99)</f>
        <v>344</v>
      </c>
      <c r="I99" s="17" t="str">
        <f>MAXIFS(CONSTANTS!$M$105:$M$323,CONSTANTS!$I$105:$I$323,$E99)</f>
        <v>5</v>
      </c>
      <c r="J99" s="17" t="str">
        <f t="shared" si="17"/>
        <v>5</v>
      </c>
      <c r="K99" s="18" t="str">
        <f t="shared" si="18"/>
        <v>68.9</v>
      </c>
      <c r="L99" s="27" t="str">
        <f t="shared" si="19"/>
        <v>21.2</v>
      </c>
      <c r="M99" s="17" t="str">
        <f t="array" ref="M99">SUMPRODUCT((COUNTIFS(CONSTANTS!$I$105:$I$323,$E99,CONSTANTS!$D$105:$D$323,CONSTANTS!$A$57:$A$63)&gt;0)*1)</f>
        <v>4</v>
      </c>
      <c r="N99" s="17" t="str">
        <f>MAXIFS(CONSTANTS!$C$105:$C$323,CONSTANTS!$I$105:$I$323,$E99)</f>
        <v>200</v>
      </c>
      <c r="O99" s="17" t="str">
        <f>SUMIFS(CONSTANTS!$J$105:$J$323,CONSTANTS!$I$105:$I$323,$E99)</f>
        <v>100</v>
      </c>
    </row>
    <row r="100" ht="14.25" customHeight="1">
      <c r="A100" s="8">
        <v>5.0</v>
      </c>
      <c r="B100" s="8" t="s">
        <v>161</v>
      </c>
      <c r="C100" s="8">
        <v>8.0</v>
      </c>
      <c r="D100" s="6">
        <v>44.0</v>
      </c>
      <c r="E100" s="16" t="str">
        <f t="shared" si="16"/>
        <v>5-8</v>
      </c>
      <c r="F100" s="17" t="str">
        <f>SUMIFS(CONSTANTS!$E$105:$E$323,CONSTANTS!$I$105:$I$323,$E100)</f>
        <v>12</v>
      </c>
      <c r="G100" s="17" t="str">
        <f>SUMIFS(CONSTANTS!$K$105:$K$323,CONSTANTS!$I$105:$I$323,$E100)</f>
        <v>280</v>
      </c>
      <c r="H100" s="17" t="str">
        <f>SUMIFS(CONSTANTS!$L$105:$L$323,CONSTANTS!$I$105:$I$323,$E100)</f>
        <v>551</v>
      </c>
      <c r="I100" s="17" t="str">
        <f>MAXIFS(CONSTANTS!$M$105:$M$323,CONSTANTS!$I$105:$I$323,$E100)</f>
        <v>6</v>
      </c>
      <c r="J100" s="17" t="str">
        <f t="shared" si="17"/>
        <v>6</v>
      </c>
      <c r="K100" s="18" t="str">
        <f t="shared" si="18"/>
        <v>91.8</v>
      </c>
      <c r="L100" s="27" t="str">
        <f t="shared" si="19"/>
        <v>33.9</v>
      </c>
      <c r="M100" s="17" t="str">
        <f t="array" ref="M100">SUMPRODUCT((COUNTIFS(CONSTANTS!$I$105:$I$323,$E100,CONSTANTS!$D$105:$D$323,CONSTANTS!$A$57:$A$63)&gt;0)*1)</f>
        <v>2</v>
      </c>
      <c r="N100" s="17" t="str">
        <f>MAXIFS(CONSTANTS!$C$105:$C$323,CONSTANTS!$I$105:$I$323,$E100)</f>
        <v>100</v>
      </c>
      <c r="O100" s="17" t="str">
        <f>SUMIFS(CONSTANTS!$J$105:$J$323,CONSTANTS!$I$105:$I$323,$E100)</f>
        <v>152</v>
      </c>
    </row>
    <row r="101" ht="14.25" customHeight="1">
      <c r="A101" s="8">
        <v>5.0</v>
      </c>
      <c r="B101" s="8" t="s">
        <v>161</v>
      </c>
      <c r="C101" s="8">
        <v>9.0</v>
      </c>
      <c r="D101" s="6">
        <v>45.0</v>
      </c>
      <c r="E101" s="16" t="str">
        <f t="shared" si="16"/>
        <v>5-9</v>
      </c>
      <c r="F101" s="17" t="str">
        <f>SUMIFS(CONSTANTS!$E$105:$E$323,CONSTANTS!$I$105:$I$323,$E101)</f>
        <v>10</v>
      </c>
      <c r="G101" s="17" t="str">
        <f>SUMIFS(CONSTANTS!$K$105:$K$323,CONSTANTS!$I$105:$I$323,$E101)</f>
        <v>170</v>
      </c>
      <c r="H101" s="17" t="str">
        <f>SUMIFS(CONSTANTS!$L$105:$L$323,CONSTANTS!$I$105:$I$323,$E101)</f>
        <v>324</v>
      </c>
      <c r="I101" s="17" t="str">
        <f>MAXIFS(CONSTANTS!$M$105:$M$323,CONSTANTS!$I$105:$I$323,$E101)</f>
        <v>6</v>
      </c>
      <c r="J101" s="17" t="str">
        <f t="shared" si="17"/>
        <v>6</v>
      </c>
      <c r="K101" s="18" t="str">
        <f t="shared" si="18"/>
        <v>54.1</v>
      </c>
      <c r="L101" s="27" t="str">
        <f t="shared" si="19"/>
        <v>20.0</v>
      </c>
      <c r="M101" s="17" t="str">
        <f t="array" ref="M101">SUMPRODUCT((COUNTIFS(CONSTANTS!$I$105:$I$323,$E101,CONSTANTS!$D$105:$D$323,CONSTANTS!$A$57:$A$63)&gt;0)*1)</f>
        <v>2</v>
      </c>
      <c r="N101" s="17" t="str">
        <f>MAXIFS(CONSTANTS!$C$105:$C$323,CONSTANTS!$I$105:$I$323,$E101)</f>
        <v>100</v>
      </c>
      <c r="O101" s="17" t="str">
        <f>SUMIFS(CONSTANTS!$J$105:$J$323,CONSTANTS!$I$105:$I$323,$E101)</f>
        <v>112</v>
      </c>
    </row>
    <row r="102" ht="14.25" customHeight="1">
      <c r="A102" s="8">
        <v>5.0</v>
      </c>
      <c r="B102" s="8" t="s">
        <v>161</v>
      </c>
      <c r="C102" s="8">
        <v>10.0</v>
      </c>
      <c r="D102" s="6">
        <v>46.0</v>
      </c>
      <c r="E102" s="16" t="str">
        <f t="shared" si="16"/>
        <v>5-10</v>
      </c>
      <c r="F102" s="17" t="str">
        <f>SUMIFS(CONSTANTS!$E$105:$E$323,CONSTANTS!$I$105:$I$323,$E102)</f>
        <v>15</v>
      </c>
      <c r="G102" s="17" t="str">
        <f>SUMIFS(CONSTANTS!$K$105:$K$323,CONSTANTS!$I$105:$I$323,$E102)</f>
        <v>480</v>
      </c>
      <c r="H102" s="17" t="str">
        <f>SUMIFS(CONSTANTS!$L$105:$L$323,CONSTANTS!$I$105:$I$323,$E102)</f>
        <v>1313</v>
      </c>
      <c r="I102" s="17" t="str">
        <f>MAXIFS(CONSTANTS!$M$105:$M$323,CONSTANTS!$I$105:$I$323,$E102)</f>
        <v>5</v>
      </c>
      <c r="J102" s="17" t="str">
        <f t="shared" si="17"/>
        <v>5</v>
      </c>
      <c r="K102" s="18" t="str">
        <f t="shared" si="18"/>
        <v>262.6</v>
      </c>
      <c r="L102" s="27" t="str">
        <f t="shared" si="19"/>
        <v>80.9</v>
      </c>
      <c r="M102" s="17" t="str">
        <f t="array" ref="M102">SUMPRODUCT((COUNTIFS(CONSTANTS!$I$105:$I$323,$E102,CONSTANTS!$D$105:$D$323,CONSTANTS!$A$57:$A$63)&gt;0)*1)</f>
        <v>6</v>
      </c>
      <c r="N102" s="17" t="str">
        <f>MAXIFS(CONSTANTS!$C$105:$C$323,CONSTANTS!$I$105:$I$323,$E102)</f>
        <v>100</v>
      </c>
      <c r="O102" s="17" t="str">
        <f>SUMIFS(CONSTANTS!$J$105:$J$323,CONSTANTS!$I$105:$I$323,$E102)</f>
        <v>307</v>
      </c>
    </row>
    <row r="103" ht="14.25" customHeight="1">
      <c r="A103" s="8">
        <v>6.0</v>
      </c>
      <c r="B103" s="8" t="s">
        <v>162</v>
      </c>
      <c r="C103" s="8">
        <v>1.0</v>
      </c>
      <c r="D103" s="6">
        <v>47.0</v>
      </c>
      <c r="E103" s="16" t="str">
        <f t="shared" si="16"/>
        <v>6-1</v>
      </c>
      <c r="F103" s="17" t="str">
        <f>SUMIFS(CONSTANTS!$E$105:$E$323,CONSTANTS!$I$105:$I$323,$E103)</f>
        <v>6</v>
      </c>
      <c r="G103" s="17" t="str">
        <f>SUMIFS(CONSTANTS!$K$105:$K$323,CONSTANTS!$I$105:$I$323,$E103)</f>
        <v>120</v>
      </c>
      <c r="H103" s="17" t="str">
        <f>SUMIFS(CONSTANTS!$L$105:$L$323,CONSTANTS!$I$105:$I$323,$E103)</f>
        <v>221</v>
      </c>
      <c r="I103" s="17" t="str">
        <f>MAXIFS(CONSTANTS!$M$105:$M$323,CONSTANTS!$I$105:$I$323,$E103)</f>
        <v>4</v>
      </c>
      <c r="J103" s="17" t="str">
        <f t="shared" si="17"/>
        <v>4</v>
      </c>
      <c r="K103" s="18" t="str">
        <f t="shared" si="18"/>
        <v>55.2</v>
      </c>
      <c r="L103" s="27" t="str">
        <f t="shared" si="19"/>
        <v>13.6</v>
      </c>
      <c r="M103" s="17" t="str">
        <f t="array" ref="M103">SUMPRODUCT((COUNTIFS(CONSTANTS!$I$105:$I$323,$E103,CONSTANTS!$D$105:$D$323,CONSTANTS!$A$57:$A$63)&gt;0)*1)</f>
        <v>1</v>
      </c>
      <c r="N103" s="17" t="str">
        <f>MAXIFS(CONSTANTS!$C$105:$C$323,CONSTANTS!$I$105:$I$323,$E103)</f>
        <v>0</v>
      </c>
      <c r="O103" s="17" t="str">
        <f>SUMIFS(CONSTANTS!$J$105:$J$323,CONSTANTS!$I$105:$I$323,$E103)</f>
        <v>60</v>
      </c>
    </row>
    <row r="104" ht="14.25" customHeight="1">
      <c r="A104" s="8">
        <v>6.0</v>
      </c>
      <c r="B104" s="8" t="s">
        <v>162</v>
      </c>
      <c r="C104" s="8">
        <v>2.0</v>
      </c>
      <c r="D104" s="6">
        <v>48.0</v>
      </c>
      <c r="E104" s="16" t="str">
        <f t="shared" si="16"/>
        <v>6-2</v>
      </c>
      <c r="F104" s="17" t="str">
        <f>SUMIFS(CONSTANTS!$E$105:$E$323,CONSTANTS!$I$105:$I$323,$E104)</f>
        <v>13</v>
      </c>
      <c r="G104" s="17" t="str">
        <f>SUMIFS(CONSTANTS!$K$105:$K$323,CONSTANTS!$I$105:$I$323,$E104)</f>
        <v>320</v>
      </c>
      <c r="H104" s="17" t="str">
        <f>SUMIFS(CONSTANTS!$L$105:$L$323,CONSTANTS!$I$105:$I$323,$E104)</f>
        <v>642</v>
      </c>
      <c r="I104" s="17" t="str">
        <f>MAXIFS(CONSTANTS!$M$105:$M$323,CONSTANTS!$I$105:$I$323,$E104)</f>
        <v>5</v>
      </c>
      <c r="J104" s="17" t="str">
        <f t="shared" si="17"/>
        <v>5</v>
      </c>
      <c r="K104" s="18" t="str">
        <f t="shared" si="18"/>
        <v>128.4</v>
      </c>
      <c r="L104" s="27" t="str">
        <f t="shared" si="19"/>
        <v>39.6</v>
      </c>
      <c r="M104" s="17" t="str">
        <f t="array" ref="M104">SUMPRODUCT((COUNTIFS(CONSTANTS!$I$105:$I$323,$E104,CONSTANTS!$D$105:$D$323,CONSTANTS!$A$57:$A$63)&gt;0)*1)</f>
        <v>2</v>
      </c>
      <c r="N104" s="17" t="str">
        <f>MAXIFS(CONSTANTS!$C$105:$C$323,CONSTANTS!$I$105:$I$323,$E104)</f>
        <v>0</v>
      </c>
      <c r="O104" s="17" t="str">
        <f>SUMIFS(CONSTANTS!$J$105:$J$323,CONSTANTS!$I$105:$I$323,$E104)</f>
        <v>178</v>
      </c>
    </row>
    <row r="105" ht="14.25" customHeight="1">
      <c r="A105" s="8">
        <v>6.0</v>
      </c>
      <c r="B105" s="8" t="s">
        <v>162</v>
      </c>
      <c r="C105" s="8">
        <v>3.0</v>
      </c>
      <c r="D105" s="6">
        <v>49.0</v>
      </c>
      <c r="E105" s="16" t="str">
        <f t="shared" si="16"/>
        <v>6-3</v>
      </c>
      <c r="F105" s="17" t="str">
        <f>SUMIFS(CONSTANTS!$E$105:$E$323,CONSTANTS!$I$105:$I$323,$E105)</f>
        <v>18</v>
      </c>
      <c r="G105" s="17" t="str">
        <f>SUMIFS(CONSTANTS!$K$105:$K$323,CONSTANTS!$I$105:$I$323,$E105)</f>
        <v>470</v>
      </c>
      <c r="H105" s="17" t="str">
        <f>SUMIFS(CONSTANTS!$L$105:$L$323,CONSTANTS!$I$105:$I$323,$E105)</f>
        <v>1451</v>
      </c>
      <c r="I105" s="17" t="str">
        <f>MAXIFS(CONSTANTS!$M$105:$M$323,CONSTANTS!$I$105:$I$323,$E105)</f>
        <v>4</v>
      </c>
      <c r="J105" s="17" t="str">
        <f t="shared" si="17"/>
        <v>4</v>
      </c>
      <c r="K105" s="18" t="str">
        <f t="shared" si="18"/>
        <v>362.8</v>
      </c>
      <c r="L105" s="27" t="str">
        <f t="shared" si="19"/>
        <v>89.4</v>
      </c>
      <c r="M105" s="17" t="str">
        <f t="array" ref="M105">SUMPRODUCT((COUNTIFS(CONSTANTS!$I$105:$I$323,$E105,CONSTANTS!$D$105:$D$323,CONSTANTS!$A$57:$A$63)&gt;0)*1)</f>
        <v>3</v>
      </c>
      <c r="N105" s="17" t="str">
        <f>MAXIFS(CONSTANTS!$C$105:$C$323,CONSTANTS!$I$105:$I$323,$E105)</f>
        <v>100</v>
      </c>
      <c r="O105" s="17" t="str">
        <f>SUMIFS(CONSTANTS!$J$105:$J$323,CONSTANTS!$I$105:$I$323,$E105)</f>
        <v>340</v>
      </c>
    </row>
    <row r="106" ht="14.25" customHeight="1">
      <c r="A106" s="8">
        <v>6.0</v>
      </c>
      <c r="B106" s="8" t="s">
        <v>162</v>
      </c>
      <c r="C106" s="8">
        <v>4.0</v>
      </c>
      <c r="D106" s="6">
        <v>50.0</v>
      </c>
      <c r="E106" s="16" t="str">
        <f t="shared" si="16"/>
        <v>6-4</v>
      </c>
      <c r="F106" s="17" t="str">
        <f>SUMIFS(CONSTANTS!$E$105:$E$323,CONSTANTS!$I$105:$I$323,$E106)</f>
        <v>8</v>
      </c>
      <c r="G106" s="17" t="str">
        <f>SUMIFS(CONSTANTS!$K$105:$K$323,CONSTANTS!$I$105:$I$323,$E106)</f>
        <v>180</v>
      </c>
      <c r="H106" s="17" t="str">
        <f>SUMIFS(CONSTANTS!$L$105:$L$323,CONSTANTS!$I$105:$I$323,$E106)</f>
        <v>349</v>
      </c>
      <c r="I106" s="17" t="str">
        <f>MAXIFS(CONSTANTS!$M$105:$M$323,CONSTANTS!$I$105:$I$323,$E106)</f>
        <v>5</v>
      </c>
      <c r="J106" s="17" t="str">
        <f t="shared" si="17"/>
        <v>5</v>
      </c>
      <c r="K106" s="18" t="str">
        <f t="shared" si="18"/>
        <v>69.8</v>
      </c>
      <c r="L106" s="27" t="str">
        <f t="shared" si="19"/>
        <v>21.5</v>
      </c>
      <c r="M106" s="17" t="str">
        <f t="array" ref="M106">SUMPRODUCT((COUNTIFS(CONSTANTS!$I$105:$I$323,$E106,CONSTANTS!$D$105:$D$323,CONSTANTS!$A$57:$A$63)&gt;0)*1)</f>
        <v>2</v>
      </c>
      <c r="N106" s="17" t="str">
        <f>MAXIFS(CONSTANTS!$C$105:$C$323,CONSTANTS!$I$105:$I$323,$E106)</f>
        <v>0</v>
      </c>
      <c r="O106" s="17" t="str">
        <f>SUMIFS(CONSTANTS!$J$105:$J$323,CONSTANTS!$I$105:$I$323,$E106)</f>
        <v>96</v>
      </c>
    </row>
    <row r="107" ht="14.25" customHeight="1">
      <c r="A107" s="8">
        <v>6.0</v>
      </c>
      <c r="B107" s="8" t="s">
        <v>162</v>
      </c>
      <c r="C107" s="8">
        <v>5.0</v>
      </c>
      <c r="D107" s="6">
        <v>51.0</v>
      </c>
      <c r="E107" s="16" t="str">
        <f t="shared" si="16"/>
        <v>6-5</v>
      </c>
      <c r="F107" s="17" t="str">
        <f>SUMIFS(CONSTANTS!$E$105:$E$323,CONSTANTS!$I$105:$I$323,$E107)</f>
        <v>8</v>
      </c>
      <c r="G107" s="17" t="str">
        <f>SUMIFS(CONSTANTS!$K$105:$K$323,CONSTANTS!$I$105:$I$323,$E107)</f>
        <v>140</v>
      </c>
      <c r="H107" s="17" t="str">
        <f>SUMIFS(CONSTANTS!$L$105:$L$323,CONSTANTS!$I$105:$I$323,$E107)</f>
        <v>265</v>
      </c>
      <c r="I107" s="17" t="str">
        <f>MAXIFS(CONSTANTS!$M$105:$M$323,CONSTANTS!$I$105:$I$323,$E107)</f>
        <v>5</v>
      </c>
      <c r="J107" s="17" t="str">
        <f t="shared" si="17"/>
        <v>5</v>
      </c>
      <c r="K107" s="18" t="str">
        <f t="shared" si="18"/>
        <v>53.1</v>
      </c>
      <c r="L107" s="27" t="str">
        <f t="shared" si="19"/>
        <v>16.4</v>
      </c>
      <c r="M107" s="17" t="str">
        <f t="array" ref="M107">SUMPRODUCT((COUNTIFS(CONSTANTS!$I$105:$I$323,$E107,CONSTANTS!$D$105:$D$323,CONSTANTS!$A$57:$A$63)&gt;0)*1)</f>
        <v>2</v>
      </c>
      <c r="N107" s="17" t="str">
        <f>MAXIFS(CONSTANTS!$C$105:$C$323,CONSTANTS!$I$105:$I$323,$E107)</f>
        <v>100</v>
      </c>
      <c r="O107" s="17" t="str">
        <f>SUMIFS(CONSTANTS!$J$105:$J$323,CONSTANTS!$I$105:$I$323,$E107)</f>
        <v>88</v>
      </c>
    </row>
    <row r="108" ht="14.25" customHeight="1">
      <c r="A108" s="8">
        <v>6.0</v>
      </c>
      <c r="B108" s="8" t="s">
        <v>162</v>
      </c>
      <c r="C108" s="8">
        <v>6.0</v>
      </c>
      <c r="D108" s="6">
        <v>52.0</v>
      </c>
      <c r="E108" s="16" t="str">
        <f t="shared" si="16"/>
        <v>6-6</v>
      </c>
      <c r="F108" s="17" t="str">
        <f>SUMIFS(CONSTANTS!$E$105:$E$323,CONSTANTS!$I$105:$I$323,$E108)</f>
        <v>14</v>
      </c>
      <c r="G108" s="17" t="str">
        <f>SUMIFS(CONSTANTS!$K$105:$K$323,CONSTANTS!$I$105:$I$323,$E108)</f>
        <v>290</v>
      </c>
      <c r="H108" s="17" t="str">
        <f>SUMIFS(CONSTANTS!$L$105:$L$323,CONSTANTS!$I$105:$I$323,$E108)</f>
        <v>581</v>
      </c>
      <c r="I108" s="17" t="str">
        <f>MAXIFS(CONSTANTS!$M$105:$M$323,CONSTANTS!$I$105:$I$323,$E108)</f>
        <v>2</v>
      </c>
      <c r="J108" s="17" t="str">
        <f t="shared" si="17"/>
        <v>3</v>
      </c>
      <c r="K108" s="18" t="str">
        <f t="shared" si="18"/>
        <v>193.7</v>
      </c>
      <c r="L108" s="27" t="str">
        <f t="shared" si="19"/>
        <v>35.8</v>
      </c>
      <c r="M108" s="17" t="str">
        <f t="array" ref="M108">SUMPRODUCT((COUNTIFS(CONSTANTS!$I$105:$I$323,$E108,CONSTANTS!$D$105:$D$323,CONSTANTS!$A$57:$A$63)&gt;0)*1)</f>
        <v>3</v>
      </c>
      <c r="N108" s="17" t="str">
        <f>MAXIFS(CONSTANTS!$C$105:$C$323,CONSTANTS!$I$105:$I$323,$E108)</f>
        <v>0</v>
      </c>
      <c r="O108" s="17" t="str">
        <f>SUMIFS(CONSTANTS!$J$105:$J$323,CONSTANTS!$I$105:$I$323,$E108)</f>
        <v>184</v>
      </c>
    </row>
    <row r="109" ht="14.25" customHeight="1">
      <c r="A109" s="8">
        <v>6.0</v>
      </c>
      <c r="B109" s="8" t="s">
        <v>162</v>
      </c>
      <c r="C109" s="8">
        <v>7.0</v>
      </c>
      <c r="D109" s="6">
        <v>53.0</v>
      </c>
      <c r="E109" s="16" t="str">
        <f t="shared" si="16"/>
        <v>6-7</v>
      </c>
      <c r="F109" s="17" t="str">
        <f>SUMIFS(CONSTANTS!$E$105:$E$323,CONSTANTS!$I$105:$I$323,$E109)</f>
        <v>9</v>
      </c>
      <c r="G109" s="17" t="str">
        <f>SUMIFS(CONSTANTS!$K$105:$K$323,CONSTANTS!$I$105:$I$323,$E109)</f>
        <v>210</v>
      </c>
      <c r="H109" s="17" t="str">
        <f>SUMIFS(CONSTANTS!$L$105:$L$323,CONSTANTS!$I$105:$I$323,$E109)</f>
        <v>636</v>
      </c>
      <c r="I109" s="17" t="str">
        <f>MAXIFS(CONSTANTS!$M$105:$M$323,CONSTANTS!$I$105:$I$323,$E109)</f>
        <v>14</v>
      </c>
      <c r="J109" s="17" t="str">
        <f t="shared" si="17"/>
        <v>14</v>
      </c>
      <c r="K109" s="18" t="str">
        <f t="shared" si="18"/>
        <v>45.4</v>
      </c>
      <c r="L109" s="27" t="str">
        <f t="shared" si="19"/>
        <v>39.2</v>
      </c>
      <c r="M109" s="17" t="str">
        <f t="array" ref="M109">SUMPRODUCT((COUNTIFS(CONSTANTS!$I$105:$I$323,$E109,CONSTANTS!$D$105:$D$323,CONSTANTS!$A$57:$A$63)&gt;0)*1)</f>
        <v>5</v>
      </c>
      <c r="N109" s="17" t="str">
        <f>MAXIFS(CONSTANTS!$C$105:$C$323,CONSTANTS!$I$105:$I$323,$E109)</f>
        <v>100</v>
      </c>
      <c r="O109" s="17" t="str">
        <f>SUMIFS(CONSTANTS!$J$105:$J$323,CONSTANTS!$I$105:$I$323,$E109)</f>
        <v>160</v>
      </c>
    </row>
    <row r="110" ht="14.25" customHeight="1">
      <c r="A110" s="8">
        <v>6.0</v>
      </c>
      <c r="B110" s="8" t="s">
        <v>162</v>
      </c>
      <c r="C110" s="8">
        <v>8.0</v>
      </c>
      <c r="D110" s="6">
        <v>54.0</v>
      </c>
      <c r="E110" s="16" t="str">
        <f t="shared" si="16"/>
        <v>6-8</v>
      </c>
      <c r="F110" s="17" t="str">
        <f>SUMIFS(CONSTANTS!$E$105:$E$323,CONSTANTS!$I$105:$I$323,$E110)</f>
        <v>9</v>
      </c>
      <c r="G110" s="17" t="str">
        <f>SUMIFS(CONSTANTS!$K$105:$K$323,CONSTANTS!$I$105:$I$323,$E110)</f>
        <v>210</v>
      </c>
      <c r="H110" s="17" t="str">
        <f>SUMIFS(CONSTANTS!$L$105:$L$323,CONSTANTS!$I$105:$I$323,$E110)</f>
        <v>413</v>
      </c>
      <c r="I110" s="17" t="str">
        <f>MAXIFS(CONSTANTS!$M$105:$M$323,CONSTANTS!$I$105:$I$323,$E110)</f>
        <v>5</v>
      </c>
      <c r="J110" s="17" t="str">
        <f t="shared" si="17"/>
        <v>5</v>
      </c>
      <c r="K110" s="18" t="str">
        <f t="shared" si="18"/>
        <v>82.6</v>
      </c>
      <c r="L110" s="27" t="str">
        <f t="shared" si="19"/>
        <v>25.4</v>
      </c>
      <c r="M110" s="17" t="str">
        <f t="array" ref="M110">SUMPRODUCT((COUNTIFS(CONSTANTS!$I$105:$I$323,$E110,CONSTANTS!$D$105:$D$323,CONSTANTS!$A$57:$A$63)&gt;0)*1)</f>
        <v>2</v>
      </c>
      <c r="N110" s="17" t="str">
        <f>MAXIFS(CONSTANTS!$C$105:$C$323,CONSTANTS!$I$105:$I$323,$E110)</f>
        <v>100</v>
      </c>
      <c r="O110" s="17" t="str">
        <f>SUMIFS(CONSTANTS!$J$105:$J$323,CONSTANTS!$I$105:$I$323,$E110)</f>
        <v>114</v>
      </c>
    </row>
    <row r="111" ht="14.25" customHeight="1">
      <c r="A111" s="8">
        <v>6.0</v>
      </c>
      <c r="B111" s="8" t="s">
        <v>162</v>
      </c>
      <c r="C111" s="8">
        <v>9.0</v>
      </c>
      <c r="D111" s="6">
        <v>55.0</v>
      </c>
      <c r="E111" s="16" t="str">
        <f t="shared" si="16"/>
        <v>6-9</v>
      </c>
      <c r="F111" s="17" t="str">
        <f>SUMIFS(CONSTANTS!$E$105:$E$323,CONSTANTS!$I$105:$I$323,$E111)</f>
        <v>15</v>
      </c>
      <c r="G111" s="17" t="str">
        <f>SUMIFS(CONSTANTS!$K$105:$K$323,CONSTANTS!$I$105:$I$323,$E111)</f>
        <v>260</v>
      </c>
      <c r="H111" s="17" t="str">
        <f>SUMIFS(CONSTANTS!$L$105:$L$323,CONSTANTS!$I$105:$I$323,$E111)</f>
        <v>494</v>
      </c>
      <c r="I111" s="17" t="str">
        <f>MAXIFS(CONSTANTS!$M$105:$M$323,CONSTANTS!$I$105:$I$323,$E111)</f>
        <v>3</v>
      </c>
      <c r="J111" s="17" t="str">
        <f t="shared" si="17"/>
        <v>3</v>
      </c>
      <c r="K111" s="18" t="str">
        <f t="shared" si="18"/>
        <v>164.6</v>
      </c>
      <c r="L111" s="27" t="str">
        <f t="shared" si="19"/>
        <v>30.4</v>
      </c>
      <c r="M111" s="17" t="str">
        <f t="array" ref="M111">SUMPRODUCT((COUNTIFS(CONSTANTS!$I$105:$I$323,$E111,CONSTANTS!$D$105:$D$323,CONSTANTS!$A$57:$A$63)&gt;0)*1)</f>
        <v>2</v>
      </c>
      <c r="N111" s="17" t="str">
        <f>MAXIFS(CONSTANTS!$C$105:$C$323,CONSTANTS!$I$105:$I$323,$E111)</f>
        <v>200</v>
      </c>
      <c r="O111" s="17" t="str">
        <f>SUMIFS(CONSTANTS!$J$105:$J$323,CONSTANTS!$I$105:$I$323,$E111)</f>
        <v>166</v>
      </c>
    </row>
    <row r="112" ht="14.25" customHeight="1">
      <c r="A112" s="8">
        <v>6.0</v>
      </c>
      <c r="B112" s="8" t="s">
        <v>162</v>
      </c>
      <c r="C112" s="8">
        <v>10.0</v>
      </c>
      <c r="D112" s="6">
        <v>56.0</v>
      </c>
      <c r="E112" s="16" t="str">
        <f t="shared" si="16"/>
        <v>6-10</v>
      </c>
      <c r="F112" s="17" t="str">
        <f>SUMIFS(CONSTANTS!$E$105:$E$323,CONSTANTS!$I$105:$I$323,$E112)</f>
        <v>10</v>
      </c>
      <c r="G112" s="17" t="str">
        <f>SUMIFS(CONSTANTS!$K$105:$K$323,CONSTANTS!$I$105:$I$323,$E112)</f>
        <v>310</v>
      </c>
      <c r="H112" s="17" t="str">
        <f>SUMIFS(CONSTANTS!$L$105:$L$323,CONSTANTS!$I$105:$I$323,$E112)</f>
        <v>776</v>
      </c>
      <c r="I112" s="17" t="str">
        <f>MAXIFS(CONSTANTS!$M$105:$M$323,CONSTANTS!$I$105:$I$323,$E112)</f>
        <v>14</v>
      </c>
      <c r="J112" s="17" t="str">
        <f t="shared" si="17"/>
        <v>14</v>
      </c>
      <c r="K112" s="18" t="str">
        <f t="shared" si="18"/>
        <v>55.5</v>
      </c>
      <c r="L112" s="27" t="str">
        <f t="shared" si="19"/>
        <v>47.8</v>
      </c>
      <c r="M112" s="17" t="str">
        <f t="array" ref="M112">SUMPRODUCT((COUNTIFS(CONSTANTS!$I$105:$I$323,$E112,CONSTANTS!$D$105:$D$323,CONSTANTS!$A$57:$A$63)&gt;0)*1)</f>
        <v>3</v>
      </c>
      <c r="N112" s="17" t="str">
        <f>MAXIFS(CONSTANTS!$C$105:$C$323,CONSTANTS!$I$105:$I$323,$E112)</f>
        <v>0</v>
      </c>
      <c r="O112" s="17" t="str">
        <f>SUMIFS(CONSTANTS!$J$105:$J$323,CONSTANTS!$I$105:$I$323,$E112)</f>
        <v>192</v>
      </c>
    </row>
    <row r="113" ht="14.25" customHeight="1">
      <c r="A113" s="8">
        <v>7.0</v>
      </c>
      <c r="B113" s="8" t="s">
        <v>163</v>
      </c>
      <c r="C113" s="8">
        <v>1.0</v>
      </c>
      <c r="D113" s="6">
        <v>57.0</v>
      </c>
      <c r="E113" s="16" t="str">
        <f t="shared" si="16"/>
        <v>7-1</v>
      </c>
      <c r="F113" s="17" t="str">
        <f>SUMIFS(CONSTANTS!$E$105:$E$323,CONSTANTS!$I$105:$I$323,$E113)</f>
        <v>7</v>
      </c>
      <c r="G113" s="17" t="str">
        <f>SUMIFS(CONSTANTS!$K$105:$K$323,CONSTANTS!$I$105:$I$323,$E113)</f>
        <v>140</v>
      </c>
      <c r="H113" s="17" t="str">
        <f>SUMIFS(CONSTANTS!$L$105:$L$323,CONSTANTS!$I$105:$I$323,$E113)</f>
        <v>257</v>
      </c>
      <c r="I113" s="17" t="str">
        <f>MAXIFS(CONSTANTS!$M$105:$M$323,CONSTANTS!$I$105:$I$323,$E113)</f>
        <v>6</v>
      </c>
      <c r="J113" s="17" t="str">
        <f t="shared" si="17"/>
        <v>6</v>
      </c>
      <c r="K113" s="18" t="str">
        <f t="shared" si="18"/>
        <v>42.9</v>
      </c>
      <c r="L113" s="27" t="str">
        <f t="shared" si="19"/>
        <v>15.9</v>
      </c>
      <c r="M113" s="17" t="str">
        <f t="array" ref="M113">SUMPRODUCT((COUNTIFS(CONSTANTS!$I$105:$I$323,$E113,CONSTANTS!$D$105:$D$323,CONSTANTS!$A$57:$A$63)&gt;0)*1)</f>
        <v>1</v>
      </c>
      <c r="N113" s="17" t="str">
        <f>MAXIFS(CONSTANTS!$C$105:$C$323,CONSTANTS!$I$105:$I$323,$E113)</f>
        <v>200</v>
      </c>
      <c r="O113" s="17" t="str">
        <f>SUMIFS(CONSTANTS!$J$105:$J$323,CONSTANTS!$I$105:$I$323,$E113)</f>
        <v>70</v>
      </c>
    </row>
    <row r="114" ht="14.25" customHeight="1">
      <c r="A114" s="8">
        <v>7.0</v>
      </c>
      <c r="B114" s="8" t="s">
        <v>163</v>
      </c>
      <c r="C114" s="8">
        <v>2.0</v>
      </c>
      <c r="D114" s="6">
        <v>58.0</v>
      </c>
      <c r="E114" s="16" t="str">
        <f t="shared" si="16"/>
        <v>7-2</v>
      </c>
      <c r="F114" s="17" t="str">
        <f>SUMIFS(CONSTANTS!$E$105:$E$323,CONSTANTS!$I$105:$I$323,$E114)</f>
        <v>16</v>
      </c>
      <c r="G114" s="17" t="str">
        <f>SUMIFS(CONSTANTS!$K$105:$K$323,CONSTANTS!$I$105:$I$323,$E114)</f>
        <v>380</v>
      </c>
      <c r="H114" s="17" t="str">
        <f>SUMIFS(CONSTANTS!$L$105:$L$323,CONSTANTS!$I$105:$I$323,$E114)</f>
        <v>752</v>
      </c>
      <c r="I114" s="17" t="str">
        <f>MAXIFS(CONSTANTS!$M$105:$M$323,CONSTANTS!$I$105:$I$323,$E114)</f>
        <v>8</v>
      </c>
      <c r="J114" s="17" t="str">
        <f t="shared" si="17"/>
        <v>8</v>
      </c>
      <c r="K114" s="18" t="str">
        <f t="shared" si="18"/>
        <v>94.1</v>
      </c>
      <c r="L114" s="27" t="str">
        <f t="shared" si="19"/>
        <v>46.4</v>
      </c>
      <c r="M114" s="17" t="str">
        <f t="array" ref="M114">SUMPRODUCT((COUNTIFS(CONSTANTS!$I$105:$I$323,$E114,CONSTANTS!$D$105:$D$323,CONSTANTS!$A$57:$A$63)&gt;0)*1)</f>
        <v>2</v>
      </c>
      <c r="N114" s="17" t="str">
        <f>MAXIFS(CONSTANTS!$C$105:$C$323,CONSTANTS!$I$105:$I$323,$E114)</f>
        <v>0</v>
      </c>
      <c r="O114" s="17" t="str">
        <f>SUMIFS(CONSTANTS!$J$105:$J$323,CONSTANTS!$I$105:$I$323,$E114)</f>
        <v>208</v>
      </c>
    </row>
    <row r="115" ht="14.25" customHeight="1">
      <c r="A115" s="8">
        <v>7.0</v>
      </c>
      <c r="B115" s="8" t="s">
        <v>163</v>
      </c>
      <c r="C115" s="8">
        <v>3.0</v>
      </c>
      <c r="D115" s="6">
        <v>59.0</v>
      </c>
      <c r="E115" s="16" t="str">
        <f t="shared" si="16"/>
        <v>7-3</v>
      </c>
      <c r="F115" s="17" t="str">
        <f>SUMIFS(CONSTANTS!$E$105:$E$323,CONSTANTS!$I$105:$I$323,$E115)</f>
        <v>18</v>
      </c>
      <c r="G115" s="17" t="str">
        <f>SUMIFS(CONSTANTS!$K$105:$K$323,CONSTANTS!$I$105:$I$323,$E115)</f>
        <v>490</v>
      </c>
      <c r="H115" s="17" t="str">
        <f>SUMIFS(CONSTANTS!$L$105:$L$323,CONSTANTS!$I$105:$I$323,$E115)</f>
        <v>1623</v>
      </c>
      <c r="I115" s="17" t="str">
        <f>MAXIFS(CONSTANTS!$M$105:$M$323,CONSTANTS!$I$105:$I$323,$E115)</f>
        <v>5</v>
      </c>
      <c r="J115" s="17" t="str">
        <f t="shared" si="17"/>
        <v>5</v>
      </c>
      <c r="K115" s="18" t="str">
        <f t="shared" si="18"/>
        <v>324.6</v>
      </c>
      <c r="L115" s="27" t="str">
        <f t="shared" si="19"/>
        <v>100.0</v>
      </c>
      <c r="M115" s="17" t="str">
        <f t="array" ref="M115">SUMPRODUCT((COUNTIFS(CONSTANTS!$I$105:$I$323,$E115,CONSTANTS!$D$105:$D$323,CONSTANTS!$A$57:$A$63)&gt;0)*1)</f>
        <v>3</v>
      </c>
      <c r="N115" s="17" t="str">
        <f>MAXIFS(CONSTANTS!$C$105:$C$323,CONSTANTS!$I$105:$I$323,$E115)</f>
        <v>100</v>
      </c>
      <c r="O115" s="17" t="str">
        <f>SUMIFS(CONSTANTS!$J$105:$J$323,CONSTANTS!$I$105:$I$323,$E115)</f>
        <v>381</v>
      </c>
    </row>
    <row r="116" ht="14.25" customHeight="1">
      <c r="A116" s="8">
        <v>7.0</v>
      </c>
      <c r="B116" s="8" t="s">
        <v>163</v>
      </c>
      <c r="C116" s="8">
        <v>4.0</v>
      </c>
      <c r="D116" s="6">
        <v>60.0</v>
      </c>
      <c r="E116" s="16" t="str">
        <f t="shared" si="16"/>
        <v>7-4</v>
      </c>
      <c r="F116" s="17" t="str">
        <f>SUMIFS(CONSTANTS!$E$105:$E$323,CONSTANTS!$I$105:$I$323,$E116)</f>
        <v>12</v>
      </c>
      <c r="G116" s="17" t="str">
        <f>SUMIFS(CONSTANTS!$K$105:$K$323,CONSTANTS!$I$105:$I$323,$E116)</f>
        <v>280</v>
      </c>
      <c r="H116" s="17" t="str">
        <f>SUMIFS(CONSTANTS!$L$105:$L$323,CONSTANTS!$I$105:$I$323,$E116)</f>
        <v>1063</v>
      </c>
      <c r="I116" s="17" t="str">
        <f>MAXIFS(CONSTANTS!$M$105:$M$323,CONSTANTS!$I$105:$I$323,$E116)</f>
        <v>6</v>
      </c>
      <c r="J116" s="17" t="str">
        <f t="shared" si="17"/>
        <v>6</v>
      </c>
      <c r="K116" s="18" t="str">
        <f t="shared" si="18"/>
        <v>177.2</v>
      </c>
      <c r="L116" s="27" t="str">
        <f t="shared" si="19"/>
        <v>65.5</v>
      </c>
      <c r="M116" s="17" t="str">
        <f t="array" ref="M116">SUMPRODUCT((COUNTIFS(CONSTANTS!$I$105:$I$323,$E116,CONSTANTS!$D$105:$D$323,CONSTANTS!$A$57:$A$63)&gt;0)*1)</f>
        <v>2</v>
      </c>
      <c r="N116" s="17" t="str">
        <f>MAXIFS(CONSTANTS!$C$105:$C$323,CONSTANTS!$I$105:$I$323,$E116)</f>
        <v>0</v>
      </c>
      <c r="O116" s="17" t="str">
        <f>SUMIFS(CONSTANTS!$J$105:$J$323,CONSTANTS!$I$105:$I$323,$E116)</f>
        <v>240</v>
      </c>
    </row>
    <row r="117" ht="14.25" customHeight="1">
      <c r="A117" s="8">
        <v>7.0</v>
      </c>
      <c r="B117" s="8" t="s">
        <v>163</v>
      </c>
      <c r="C117" s="8">
        <v>5.0</v>
      </c>
      <c r="D117" s="6">
        <v>61.0</v>
      </c>
      <c r="E117" s="16" t="str">
        <f t="shared" si="16"/>
        <v>7-5</v>
      </c>
      <c r="F117" s="17" t="str">
        <f>SUMIFS(CONSTANTS!$E$105:$E$323,CONSTANTS!$I$105:$I$323,$E117)</f>
        <v>8</v>
      </c>
      <c r="G117" s="17" t="str">
        <f>SUMIFS(CONSTANTS!$K$105:$K$323,CONSTANTS!$I$105:$I$323,$E117)</f>
        <v>140</v>
      </c>
      <c r="H117" s="17" t="str">
        <f>SUMIFS(CONSTANTS!$L$105:$L$323,CONSTANTS!$I$105:$I$323,$E117)</f>
        <v>265</v>
      </c>
      <c r="I117" s="17" t="str">
        <f>MAXIFS(CONSTANTS!$M$105:$M$323,CONSTANTS!$I$105:$I$323,$E117)</f>
        <v>5</v>
      </c>
      <c r="J117" s="17" t="str">
        <f t="shared" si="17"/>
        <v>5</v>
      </c>
      <c r="K117" s="18" t="str">
        <f t="shared" si="18"/>
        <v>53.1</v>
      </c>
      <c r="L117" s="27" t="str">
        <f t="shared" si="19"/>
        <v>16.4</v>
      </c>
      <c r="M117" s="17" t="str">
        <f t="array" ref="M117">SUMPRODUCT((COUNTIFS(CONSTANTS!$I$105:$I$323,$E117,CONSTANTS!$D$105:$D$323,CONSTANTS!$A$57:$A$63)&gt;0)*1)</f>
        <v>2</v>
      </c>
      <c r="N117" s="17" t="str">
        <f>MAXIFS(CONSTANTS!$C$105:$C$323,CONSTANTS!$I$105:$I$323,$E117)</f>
        <v>100</v>
      </c>
      <c r="O117" s="17" t="str">
        <f>SUMIFS(CONSTANTS!$J$105:$J$323,CONSTANTS!$I$105:$I$323,$E117)</f>
        <v>88</v>
      </c>
    </row>
    <row r="118" ht="14.25" customHeight="1">
      <c r="A118" s="8">
        <v>7.0</v>
      </c>
      <c r="B118" s="8" t="s">
        <v>163</v>
      </c>
      <c r="C118" s="8">
        <v>6.0</v>
      </c>
      <c r="D118" s="6">
        <v>62.0</v>
      </c>
      <c r="E118" s="16" t="str">
        <f t="shared" si="16"/>
        <v>7-6</v>
      </c>
      <c r="F118" s="17" t="str">
        <f>SUMIFS(CONSTANTS!$E$105:$E$323,CONSTANTS!$I$105:$I$323,$E118)</f>
        <v>12</v>
      </c>
      <c r="G118" s="17" t="str">
        <f>SUMIFS(CONSTANTS!$K$105:$K$323,CONSTANTS!$I$105:$I$323,$E118)</f>
        <v>260</v>
      </c>
      <c r="H118" s="17" t="str">
        <f>SUMIFS(CONSTANTS!$L$105:$L$323,CONSTANTS!$I$105:$I$323,$E118)</f>
        <v>522</v>
      </c>
      <c r="I118" s="17" t="str">
        <f>MAXIFS(CONSTANTS!$M$105:$M$323,CONSTANTS!$I$105:$I$323,$E118)</f>
        <v>6</v>
      </c>
      <c r="J118" s="17" t="str">
        <f t="shared" si="17"/>
        <v>6</v>
      </c>
      <c r="K118" s="18" t="str">
        <f t="shared" si="18"/>
        <v>87.0</v>
      </c>
      <c r="L118" s="27" t="str">
        <f t="shared" si="19"/>
        <v>32.2</v>
      </c>
      <c r="M118" s="17" t="str">
        <f t="array" ref="M118">SUMPRODUCT((COUNTIFS(CONSTANTS!$I$105:$I$323,$E118,CONSTANTS!$D$105:$D$323,CONSTANTS!$A$57:$A$63)&gt;0)*1)</f>
        <v>3</v>
      </c>
      <c r="N118" s="17" t="str">
        <f>MAXIFS(CONSTANTS!$C$105:$C$323,CONSTANTS!$I$105:$I$323,$E118)</f>
        <v>0</v>
      </c>
      <c r="O118" s="17" t="str">
        <f>SUMIFS(CONSTANTS!$J$105:$J$323,CONSTANTS!$I$105:$I$323,$E118)</f>
        <v>160</v>
      </c>
    </row>
    <row r="119" ht="14.25" customHeight="1">
      <c r="A119" s="8">
        <v>7.0</v>
      </c>
      <c r="B119" s="8" t="s">
        <v>163</v>
      </c>
      <c r="C119" s="8">
        <v>7.0</v>
      </c>
      <c r="D119" s="6">
        <v>63.0</v>
      </c>
      <c r="E119" s="16" t="str">
        <f t="shared" si="16"/>
        <v>7-7</v>
      </c>
      <c r="F119" s="17" t="str">
        <f>SUMIFS(CONSTANTS!$E$105:$E$323,CONSTANTS!$I$105:$I$323,$E119)</f>
        <v>10</v>
      </c>
      <c r="G119" s="17" t="str">
        <f>SUMIFS(CONSTANTS!$K$105:$K$323,CONSTANTS!$I$105:$I$323,$E119)</f>
        <v>220</v>
      </c>
      <c r="H119" s="17" t="str">
        <f>SUMIFS(CONSTANTS!$L$105:$L$323,CONSTANTS!$I$105:$I$323,$E119)</f>
        <v>658</v>
      </c>
      <c r="I119" s="17" t="str">
        <f>MAXIFS(CONSTANTS!$M$105:$M$323,CONSTANTS!$I$105:$I$323,$E119)</f>
        <v>5</v>
      </c>
      <c r="J119" s="17" t="str">
        <f t="shared" si="17"/>
        <v>5</v>
      </c>
      <c r="K119" s="18" t="str">
        <f t="shared" si="18"/>
        <v>131.6</v>
      </c>
      <c r="L119" s="27" t="str">
        <f t="shared" si="19"/>
        <v>40.5</v>
      </c>
      <c r="M119" s="17" t="str">
        <f t="array" ref="M119">SUMPRODUCT((COUNTIFS(CONSTANTS!$I$105:$I$323,$E119,CONSTANTS!$D$105:$D$323,CONSTANTS!$A$57:$A$63)&gt;0)*1)</f>
        <v>5</v>
      </c>
      <c r="N119" s="17" t="str">
        <f>MAXIFS(CONSTANTS!$C$105:$C$323,CONSTANTS!$I$105:$I$323,$E119)</f>
        <v>100</v>
      </c>
      <c r="O119" s="17" t="str">
        <f>SUMIFS(CONSTANTS!$J$105:$J$323,CONSTANTS!$I$105:$I$323,$E119)</f>
        <v>174</v>
      </c>
    </row>
    <row r="120" ht="14.25" customHeight="1">
      <c r="A120" s="8">
        <v>7.0</v>
      </c>
      <c r="B120" s="8" t="s">
        <v>163</v>
      </c>
      <c r="C120" s="8">
        <v>8.0</v>
      </c>
      <c r="D120" s="6">
        <v>64.0</v>
      </c>
      <c r="E120" s="16" t="str">
        <f t="shared" si="16"/>
        <v>7-8</v>
      </c>
      <c r="F120" s="17" t="str">
        <f>SUMIFS(CONSTANTS!$E$105:$E$323,CONSTANTS!$I$105:$I$323,$E120)</f>
        <v>13</v>
      </c>
      <c r="G120" s="17" t="str">
        <f>SUMIFS(CONSTANTS!$K$105:$K$323,CONSTANTS!$I$105:$I$323,$E120)</f>
        <v>300</v>
      </c>
      <c r="H120" s="17" t="str">
        <f>SUMIFS(CONSTANTS!$L$105:$L$323,CONSTANTS!$I$105:$I$323,$E120)</f>
        <v>587</v>
      </c>
      <c r="I120" s="17" t="str">
        <f>MAXIFS(CONSTANTS!$M$105:$M$323,CONSTANTS!$I$105:$I$323,$E120)</f>
        <v>7</v>
      </c>
      <c r="J120" s="17" t="str">
        <f t="shared" si="17"/>
        <v>7</v>
      </c>
      <c r="K120" s="18" t="str">
        <f t="shared" si="18"/>
        <v>83.9</v>
      </c>
      <c r="L120" s="27" t="str">
        <f t="shared" si="19"/>
        <v>36.2</v>
      </c>
      <c r="M120" s="17" t="str">
        <f t="array" ref="M120">SUMPRODUCT((COUNTIFS(CONSTANTS!$I$105:$I$323,$E120,CONSTANTS!$D$105:$D$323,CONSTANTS!$A$57:$A$63)&gt;0)*1)</f>
        <v>2</v>
      </c>
      <c r="N120" s="17" t="str">
        <f>MAXIFS(CONSTANTS!$C$105:$C$323,CONSTANTS!$I$105:$I$323,$E120)</f>
        <v>100</v>
      </c>
      <c r="O120" s="17" t="str">
        <f>SUMIFS(CONSTANTS!$J$105:$J$323,CONSTANTS!$I$105:$I$323,$E120)</f>
        <v>162</v>
      </c>
    </row>
    <row r="121" ht="14.25" customHeight="1">
      <c r="A121" s="8">
        <v>7.0</v>
      </c>
      <c r="B121" s="8" t="s">
        <v>163</v>
      </c>
      <c r="C121" s="8">
        <v>9.0</v>
      </c>
      <c r="D121" s="6">
        <v>65.0</v>
      </c>
      <c r="E121" s="16" t="str">
        <f t="shared" si="16"/>
        <v>7-9</v>
      </c>
      <c r="F121" s="17" t="str">
        <f>SUMIFS(CONSTANTS!$E$105:$E$323,CONSTANTS!$I$105:$I$323,$E121)</f>
        <v>11</v>
      </c>
      <c r="G121" s="17" t="str">
        <f>SUMIFS(CONSTANTS!$K$105:$K$323,CONSTANTS!$I$105:$I$323,$E121)</f>
        <v>190</v>
      </c>
      <c r="H121" s="17" t="str">
        <f>SUMIFS(CONSTANTS!$L$105:$L$323,CONSTANTS!$I$105:$I$323,$E121)</f>
        <v>361</v>
      </c>
      <c r="I121" s="17" t="str">
        <f>MAXIFS(CONSTANTS!$M$105:$M$323,CONSTANTS!$I$105:$I$323,$E121)</f>
        <v>6</v>
      </c>
      <c r="J121" s="17" t="str">
        <f t="shared" si="17"/>
        <v>6</v>
      </c>
      <c r="K121" s="18" t="str">
        <f t="shared" si="18"/>
        <v>60.2</v>
      </c>
      <c r="L121" s="27" t="str">
        <f t="shared" si="19"/>
        <v>22.3</v>
      </c>
      <c r="M121" s="17" t="str">
        <f t="array" ref="M121">SUMPRODUCT((COUNTIFS(CONSTANTS!$I$105:$I$323,$E121,CONSTANTS!$D$105:$D$323,CONSTANTS!$A$57:$A$63)&gt;0)*1)</f>
        <v>2</v>
      </c>
      <c r="N121" s="17" t="str">
        <f>MAXIFS(CONSTANTS!$C$105:$C$323,CONSTANTS!$I$105:$I$323,$E121)</f>
        <v>200</v>
      </c>
      <c r="O121" s="17" t="str">
        <f>SUMIFS(CONSTANTS!$J$105:$J$323,CONSTANTS!$I$105:$I$323,$E121)</f>
        <v>122</v>
      </c>
    </row>
    <row r="122" ht="14.25" customHeight="1">
      <c r="A122" s="8">
        <v>7.0</v>
      </c>
      <c r="B122" s="8" t="s">
        <v>163</v>
      </c>
      <c r="C122" s="8">
        <v>10.0</v>
      </c>
      <c r="D122" s="6">
        <v>66.0</v>
      </c>
      <c r="E122" s="16" t="str">
        <f t="shared" si="16"/>
        <v>7-10</v>
      </c>
      <c r="F122" s="17" t="str">
        <f>SUMIFS(CONSTANTS!$E$105:$E$323,CONSTANTS!$I$105:$I$323,$E122)</f>
        <v>17</v>
      </c>
      <c r="G122" s="17" t="str">
        <f>SUMIFS(CONSTANTS!$K$105:$K$323,CONSTANTS!$I$105:$I$323,$E122)</f>
        <v>560</v>
      </c>
      <c r="H122" s="17" t="str">
        <f>SUMIFS(CONSTANTS!$L$105:$L$323,CONSTANTS!$I$105:$I$323,$E122)</f>
        <v>1156</v>
      </c>
      <c r="I122" s="17" t="str">
        <f>MAXIFS(CONSTANTS!$M$105:$M$323,CONSTANTS!$I$105:$I$323,$E122)</f>
        <v>1</v>
      </c>
      <c r="J122" s="17" t="str">
        <f t="shared" si="17"/>
        <v>3</v>
      </c>
      <c r="K122" s="18" t="str">
        <f t="shared" si="18"/>
        <v>385.2</v>
      </c>
      <c r="L122" s="27" t="str">
        <f t="shared" si="19"/>
        <v>71.2</v>
      </c>
      <c r="M122" s="17" t="str">
        <f t="array" ref="M122">SUMPRODUCT((COUNTIFS(CONSTANTS!$I$105:$I$323,$E122,CONSTANTS!$D$105:$D$323,CONSTANTS!$A$57:$A$63)&gt;0)*1)</f>
        <v>3</v>
      </c>
      <c r="N122" s="17" t="str">
        <f>MAXIFS(CONSTANTS!$C$105:$C$323,CONSTANTS!$I$105:$I$323,$E122)</f>
        <v>0</v>
      </c>
      <c r="O122" s="17" t="str">
        <f>SUMIFS(CONSTANTS!$J$105:$J$323,CONSTANTS!$I$105:$I$323,$E122)</f>
        <v>284</v>
      </c>
    </row>
    <row r="123" ht="14.25" customHeight="1">
      <c r="A123" s="8">
        <v>8.0</v>
      </c>
      <c r="B123" s="8" t="s">
        <v>164</v>
      </c>
      <c r="C123" s="8">
        <v>1.0</v>
      </c>
      <c r="D123" s="6">
        <v>67.0</v>
      </c>
      <c r="E123" s="16" t="str">
        <f t="shared" si="16"/>
        <v>8-1</v>
      </c>
      <c r="F123" s="17" t="str">
        <f>SUMIFS(CONSTANTS!$E$105:$E$323,CONSTANTS!$I$105:$I$323,$E123)</f>
        <v>5</v>
      </c>
      <c r="G123" s="17" t="str">
        <f>SUMIFS(CONSTANTS!$K$105:$K$323,CONSTANTS!$I$105:$I$323,$E123)</f>
        <v>100</v>
      </c>
      <c r="H123" s="17" t="str">
        <f>SUMIFS(CONSTANTS!$L$105:$L$323,CONSTANTS!$I$105:$I$323,$E123)</f>
        <v>301</v>
      </c>
      <c r="I123" s="17" t="str">
        <f>MAXIFS(CONSTANTS!$M$105:$M$323,CONSTANTS!$I$105:$I$323,$E123)</f>
        <v>5</v>
      </c>
      <c r="J123" s="17" t="str">
        <f t="shared" si="17"/>
        <v>5</v>
      </c>
      <c r="K123" s="18" t="str">
        <f t="shared" si="18"/>
        <v>60.1</v>
      </c>
      <c r="L123" s="27" t="str">
        <f t="shared" si="19"/>
        <v>18.5</v>
      </c>
      <c r="M123" s="17" t="str">
        <f t="array" ref="M123">SUMPRODUCT((COUNTIFS(CONSTANTS!$I$105:$I$323,$E123,CONSTANTS!$D$105:$D$323,CONSTANTS!$A$57:$A$63)&gt;0)*1)</f>
        <v>1</v>
      </c>
      <c r="N123" s="17" t="str">
        <f>MAXIFS(CONSTANTS!$C$105:$C$323,CONSTANTS!$I$105:$I$323,$E123)</f>
        <v>100</v>
      </c>
      <c r="O123" s="17" t="str">
        <f>SUMIFS(CONSTANTS!$J$105:$J$323,CONSTANTS!$I$105:$I$323,$E123)</f>
        <v>75</v>
      </c>
    </row>
    <row r="124" ht="14.25" customHeight="1">
      <c r="A124" s="8">
        <v>8.0</v>
      </c>
      <c r="B124" s="8" t="s">
        <v>164</v>
      </c>
      <c r="C124" s="8">
        <v>2.0</v>
      </c>
      <c r="D124" s="6">
        <v>68.0</v>
      </c>
      <c r="E124" s="16" t="str">
        <f t="shared" si="16"/>
        <v>8-2</v>
      </c>
      <c r="F124" s="17" t="str">
        <f>SUMIFS(CONSTANTS!$E$105:$E$323,CONSTANTS!$I$105:$I$323,$E124)</f>
        <v>13</v>
      </c>
      <c r="G124" s="17" t="str">
        <f>SUMIFS(CONSTANTS!$K$105:$K$323,CONSTANTS!$I$105:$I$323,$E124)</f>
        <v>320</v>
      </c>
      <c r="H124" s="17" t="str">
        <f>SUMIFS(CONSTANTS!$L$105:$L$323,CONSTANTS!$I$105:$I$323,$E124)</f>
        <v>806</v>
      </c>
      <c r="I124" s="17" t="str">
        <f>MAXIFS(CONSTANTS!$M$105:$M$323,CONSTANTS!$I$105:$I$323,$E124)</f>
        <v>5</v>
      </c>
      <c r="J124" s="17" t="str">
        <f t="shared" si="17"/>
        <v>5</v>
      </c>
      <c r="K124" s="18" t="str">
        <f t="shared" si="18"/>
        <v>161.1</v>
      </c>
      <c r="L124" s="27" t="str">
        <f t="shared" si="19"/>
        <v>49.6</v>
      </c>
      <c r="M124" s="17" t="str">
        <f t="array" ref="M124">SUMPRODUCT((COUNTIFS(CONSTANTS!$I$105:$I$323,$E124,CONSTANTS!$D$105:$D$323,CONSTANTS!$A$57:$A$63)&gt;0)*1)</f>
        <v>2</v>
      </c>
      <c r="N124" s="17" t="str">
        <f>MAXIFS(CONSTANTS!$C$105:$C$323,CONSTANTS!$I$105:$I$323,$E124)</f>
        <v>0</v>
      </c>
      <c r="O124" s="17" t="str">
        <f>SUMIFS(CONSTANTS!$J$105:$J$323,CONSTANTS!$I$105:$I$323,$E124)</f>
        <v>213</v>
      </c>
    </row>
    <row r="125" ht="14.25" customHeight="1">
      <c r="A125" s="8">
        <v>8.0</v>
      </c>
      <c r="B125" s="8" t="s">
        <v>164</v>
      </c>
      <c r="C125" s="8">
        <v>3.0</v>
      </c>
      <c r="D125" s="6">
        <v>69.0</v>
      </c>
      <c r="E125" s="16" t="str">
        <f t="shared" si="16"/>
        <v>8-3</v>
      </c>
      <c r="F125" s="17" t="str">
        <f>SUMIFS(CONSTANTS!$E$105:$E$323,CONSTANTS!$I$105:$I$323,$E125)</f>
        <v>11</v>
      </c>
      <c r="G125" s="17" t="str">
        <f>SUMIFS(CONSTANTS!$K$105:$K$323,CONSTANTS!$I$105:$I$323,$E125)</f>
        <v>300</v>
      </c>
      <c r="H125" s="17" t="str">
        <f>SUMIFS(CONSTANTS!$L$105:$L$323,CONSTANTS!$I$105:$I$323,$E125)</f>
        <v>1182</v>
      </c>
      <c r="I125" s="17" t="str">
        <f>MAXIFS(CONSTANTS!$M$105:$M$323,CONSTANTS!$I$105:$I$323,$E125)</f>
        <v>5</v>
      </c>
      <c r="J125" s="17" t="str">
        <f t="shared" si="17"/>
        <v>5</v>
      </c>
      <c r="K125" s="18" t="str">
        <f t="shared" si="18"/>
        <v>236.4</v>
      </c>
      <c r="L125" s="27" t="str">
        <f t="shared" si="19"/>
        <v>72.8</v>
      </c>
      <c r="M125" s="17" t="str">
        <f t="array" ref="M125">SUMPRODUCT((COUNTIFS(CONSTANTS!$I$105:$I$323,$E125,CONSTANTS!$D$105:$D$323,CONSTANTS!$A$57:$A$63)&gt;0)*1)</f>
        <v>3</v>
      </c>
      <c r="N125" s="17" t="str">
        <f>MAXIFS(CONSTANTS!$C$105:$C$323,CONSTANTS!$I$105:$I$323,$E125)</f>
        <v>100</v>
      </c>
      <c r="O125" s="17" t="str">
        <f>SUMIFS(CONSTANTS!$J$105:$J$323,CONSTANTS!$I$105:$I$323,$E125)</f>
        <v>261</v>
      </c>
    </row>
    <row r="126" ht="14.25" customHeight="1">
      <c r="A126" s="8">
        <v>8.0</v>
      </c>
      <c r="B126" s="8" t="s">
        <v>164</v>
      </c>
      <c r="C126" s="8">
        <v>4.0</v>
      </c>
      <c r="D126" s="6">
        <v>70.0</v>
      </c>
      <c r="E126" s="16" t="str">
        <f t="shared" si="16"/>
        <v>8-4</v>
      </c>
      <c r="F126" s="17" t="str">
        <f>SUMIFS(CONSTANTS!$E$105:$E$323,CONSTANTS!$I$105:$I$323,$E126)</f>
        <v>8</v>
      </c>
      <c r="G126" s="17" t="str">
        <f>SUMIFS(CONSTANTS!$K$105:$K$323,CONSTANTS!$I$105:$I$323,$E126)</f>
        <v>160</v>
      </c>
      <c r="H126" s="17" t="str">
        <f>SUMIFS(CONSTANTS!$L$105:$L$323,CONSTANTS!$I$105:$I$323,$E126)</f>
        <v>411</v>
      </c>
      <c r="I126" s="17" t="str">
        <f>MAXIFS(CONSTANTS!$M$105:$M$323,CONSTANTS!$I$105:$I$323,$E126)</f>
        <v>7</v>
      </c>
      <c r="J126" s="17" t="str">
        <f t="shared" si="17"/>
        <v>7</v>
      </c>
      <c r="K126" s="18" t="str">
        <f t="shared" si="18"/>
        <v>58.7</v>
      </c>
      <c r="L126" s="27" t="str">
        <f t="shared" si="19"/>
        <v>25.3</v>
      </c>
      <c r="M126" s="17" t="str">
        <f t="array" ref="M126">SUMPRODUCT((COUNTIFS(CONSTANTS!$I$105:$I$323,$E126,CONSTANTS!$D$105:$D$323,CONSTANTS!$A$57:$A$63)&gt;0)*1)</f>
        <v>2</v>
      </c>
      <c r="N126" s="17" t="str">
        <f>MAXIFS(CONSTANTS!$C$105:$C$323,CONSTANTS!$I$105:$I$323,$E126)</f>
        <v>100</v>
      </c>
      <c r="O126" s="17" t="str">
        <f>SUMIFS(CONSTANTS!$J$105:$J$323,CONSTANTS!$I$105:$I$323,$E126)</f>
        <v>105</v>
      </c>
    </row>
    <row r="127" ht="14.25" customHeight="1">
      <c r="A127" s="8">
        <v>8.0</v>
      </c>
      <c r="B127" s="8" t="s">
        <v>164</v>
      </c>
      <c r="C127" s="8">
        <v>5.0</v>
      </c>
      <c r="D127" s="6">
        <v>71.0</v>
      </c>
      <c r="E127" s="16" t="str">
        <f t="shared" si="16"/>
        <v>8-5</v>
      </c>
      <c r="F127" s="17" t="str">
        <f>SUMIFS(CONSTANTS!$E$105:$E$323,CONSTANTS!$I$105:$I$323,$E127)</f>
        <v>13</v>
      </c>
      <c r="G127" s="17" t="str">
        <f>SUMIFS(CONSTANTS!$K$105:$K$323,CONSTANTS!$I$105:$I$323,$E127)</f>
        <v>260</v>
      </c>
      <c r="H127" s="17" t="str">
        <f>SUMIFS(CONSTANTS!$L$105:$L$323,CONSTANTS!$I$105:$I$323,$E127)</f>
        <v>665</v>
      </c>
      <c r="I127" s="17" t="str">
        <f>MAXIFS(CONSTANTS!$M$105:$M$323,CONSTANTS!$I$105:$I$323,$E127)</f>
        <v>9</v>
      </c>
      <c r="J127" s="17" t="str">
        <f t="shared" si="17"/>
        <v>9</v>
      </c>
      <c r="K127" s="18" t="str">
        <f t="shared" si="18"/>
        <v>73.9</v>
      </c>
      <c r="L127" s="27" t="str">
        <f t="shared" si="19"/>
        <v>41.0</v>
      </c>
      <c r="M127" s="17" t="str">
        <f t="array" ref="M127">SUMPRODUCT((COUNTIFS(CONSTANTS!$I$105:$I$323,$E127,CONSTANTS!$D$105:$D$323,CONSTANTS!$A$57:$A$63)&gt;0)*1)</f>
        <v>2</v>
      </c>
      <c r="N127" s="17" t="str">
        <f>MAXIFS(CONSTANTS!$C$105:$C$323,CONSTANTS!$I$105:$I$323,$E127)</f>
        <v>200</v>
      </c>
      <c r="O127" s="17" t="str">
        <f>SUMIFS(CONSTANTS!$J$105:$J$323,CONSTANTS!$I$105:$I$323,$E127)</f>
        <v>170</v>
      </c>
    </row>
    <row r="128" ht="14.25" customHeight="1">
      <c r="A128" s="8">
        <v>8.0</v>
      </c>
      <c r="B128" s="8" t="s">
        <v>164</v>
      </c>
      <c r="C128" s="8">
        <v>6.0</v>
      </c>
      <c r="D128" s="6">
        <v>72.0</v>
      </c>
      <c r="E128" s="16" t="str">
        <f t="shared" si="16"/>
        <v>8-6</v>
      </c>
      <c r="F128" s="17" t="str">
        <f>SUMIFS(CONSTANTS!$E$105:$E$323,CONSTANTS!$I$105:$I$323,$E128)</f>
        <v>16</v>
      </c>
      <c r="G128" s="17" t="str">
        <f>SUMIFS(CONSTANTS!$K$105:$K$323,CONSTANTS!$I$105:$I$323,$E128)</f>
        <v>320</v>
      </c>
      <c r="H128" s="17" t="str">
        <f>SUMIFS(CONSTANTS!$L$105:$L$323,CONSTANTS!$I$105:$I$323,$E128)</f>
        <v>822</v>
      </c>
      <c r="I128" s="17" t="str">
        <f>MAXIFS(CONSTANTS!$M$105:$M$323,CONSTANTS!$I$105:$I$323,$E128)</f>
        <v>8</v>
      </c>
      <c r="J128" s="17" t="str">
        <f t="shared" si="17"/>
        <v>8</v>
      </c>
      <c r="K128" s="18" t="str">
        <f t="shared" si="18"/>
        <v>102.8</v>
      </c>
      <c r="L128" s="27" t="str">
        <f t="shared" si="19"/>
        <v>50.7</v>
      </c>
      <c r="M128" s="17" t="str">
        <f t="array" ref="M128">SUMPRODUCT((COUNTIFS(CONSTANTS!$I$105:$I$323,$E128,CONSTANTS!$D$105:$D$323,CONSTANTS!$A$57:$A$63)&gt;0)*1)</f>
        <v>2</v>
      </c>
      <c r="N128" s="17" t="str">
        <f>MAXIFS(CONSTANTS!$C$105:$C$323,CONSTANTS!$I$105:$I$323,$E128)</f>
        <v>0</v>
      </c>
      <c r="O128" s="17" t="str">
        <f>SUMIFS(CONSTANTS!$J$105:$J$323,CONSTANTS!$I$105:$I$323,$E128)</f>
        <v>210</v>
      </c>
    </row>
    <row r="129" ht="14.25" customHeight="1">
      <c r="A129" s="8">
        <v>8.0</v>
      </c>
      <c r="B129" s="8" t="s">
        <v>164</v>
      </c>
      <c r="C129" s="8">
        <v>7.0</v>
      </c>
      <c r="D129" s="6">
        <v>73.0</v>
      </c>
      <c r="E129" s="16" t="str">
        <f t="shared" si="16"/>
        <v>8-7</v>
      </c>
      <c r="F129" s="17" t="str">
        <f>SUMIFS(CONSTANTS!$E$105:$E$323,CONSTANTS!$I$105:$I$323,$E129)</f>
        <v>15</v>
      </c>
      <c r="G129" s="17" t="str">
        <f>SUMIFS(CONSTANTS!$K$105:$K$323,CONSTANTS!$I$105:$I$323,$E129)</f>
        <v>300</v>
      </c>
      <c r="H129" s="17" t="str">
        <f>SUMIFS(CONSTANTS!$L$105:$L$323,CONSTANTS!$I$105:$I$323,$E129)</f>
        <v>902</v>
      </c>
      <c r="I129" s="17" t="str">
        <f>MAXIFS(CONSTANTS!$M$105:$M$323,CONSTANTS!$I$105:$I$323,$E129)</f>
        <v>8</v>
      </c>
      <c r="J129" s="17" t="str">
        <f t="shared" si="17"/>
        <v>8</v>
      </c>
      <c r="K129" s="18" t="str">
        <f t="shared" si="18"/>
        <v>112.8</v>
      </c>
      <c r="L129" s="27" t="str">
        <f t="shared" si="19"/>
        <v>55.6</v>
      </c>
      <c r="M129" s="17" t="str">
        <f t="array" ref="M129">SUMPRODUCT((COUNTIFS(CONSTANTS!$I$105:$I$323,$E129,CONSTANTS!$D$105:$D$323,CONSTANTS!$A$57:$A$63)&gt;0)*1)</f>
        <v>1</v>
      </c>
      <c r="N129" s="17" t="str">
        <f>MAXIFS(CONSTANTS!$C$105:$C$323,CONSTANTS!$I$105:$I$323,$E129)</f>
        <v>100</v>
      </c>
      <c r="O129" s="17" t="str">
        <f>SUMIFS(CONSTANTS!$J$105:$J$323,CONSTANTS!$I$105:$I$323,$E129)</f>
        <v>225</v>
      </c>
    </row>
    <row r="130" ht="14.25" customHeight="1">
      <c r="A130" s="8">
        <v>8.0</v>
      </c>
      <c r="B130" s="8" t="s">
        <v>164</v>
      </c>
      <c r="C130" s="8">
        <v>8.0</v>
      </c>
      <c r="D130" s="6">
        <v>74.0</v>
      </c>
      <c r="E130" s="16" t="str">
        <f t="shared" si="16"/>
        <v>8-8</v>
      </c>
      <c r="F130" s="17" t="str">
        <f>SUMIFS(CONSTANTS!$E$105:$E$323,CONSTANTS!$I$105:$I$323,$E130)</f>
        <v>15</v>
      </c>
      <c r="G130" s="17" t="str">
        <f>SUMIFS(CONSTANTS!$K$105:$K$323,CONSTANTS!$I$105:$I$323,$E130)</f>
        <v>350</v>
      </c>
      <c r="H130" s="17" t="str">
        <f>SUMIFS(CONSTANTS!$L$105:$L$323,CONSTANTS!$I$105:$I$323,$E130)</f>
        <v>922</v>
      </c>
      <c r="I130" s="17" t="str">
        <f>MAXIFS(CONSTANTS!$M$105:$M$323,CONSTANTS!$I$105:$I$323,$E130)</f>
        <v>6</v>
      </c>
      <c r="J130" s="17" t="str">
        <f t="shared" si="17"/>
        <v>6</v>
      </c>
      <c r="K130" s="18" t="str">
        <f t="shared" si="18"/>
        <v>153.7</v>
      </c>
      <c r="L130" s="27" t="str">
        <f t="shared" si="19"/>
        <v>56.8</v>
      </c>
      <c r="M130" s="17" t="str">
        <f t="array" ref="M130">SUMPRODUCT((COUNTIFS(CONSTANTS!$I$105:$I$323,$E130,CONSTANTS!$D$105:$D$323,CONSTANTS!$A$57:$A$63)&gt;0)*1)</f>
        <v>2</v>
      </c>
      <c r="N130" s="17" t="str">
        <f>MAXIFS(CONSTANTS!$C$105:$C$323,CONSTANTS!$I$105:$I$323,$E130)</f>
        <v>0</v>
      </c>
      <c r="O130" s="17" t="str">
        <f>SUMIFS(CONSTANTS!$J$105:$J$323,CONSTANTS!$I$105:$I$323,$E130)</f>
        <v>240</v>
      </c>
    </row>
    <row r="131" ht="14.25" customHeight="1">
      <c r="A131" s="8">
        <v>8.0</v>
      </c>
      <c r="B131" s="8" t="s">
        <v>164</v>
      </c>
      <c r="C131" s="8">
        <v>9.0</v>
      </c>
      <c r="D131" s="6">
        <v>75.0</v>
      </c>
      <c r="E131" s="16" t="str">
        <f t="shared" si="16"/>
        <v>8-9</v>
      </c>
      <c r="F131" s="17" t="str">
        <f>SUMIFS(CONSTANTS!$E$105:$E$323,CONSTANTS!$I$105:$I$323,$E131)</f>
        <v>20</v>
      </c>
      <c r="G131" s="17" t="str">
        <f>SUMIFS(CONSTANTS!$K$105:$K$323,CONSTANTS!$I$105:$I$323,$E131)</f>
        <v>400</v>
      </c>
      <c r="H131" s="17" t="str">
        <f>SUMIFS(CONSTANTS!$L$105:$L$323,CONSTANTS!$I$105:$I$323,$E131)</f>
        <v>1203</v>
      </c>
      <c r="I131" s="17" t="str">
        <f>MAXIFS(CONSTANTS!$M$105:$M$323,CONSTANTS!$I$105:$I$323,$E131)</f>
        <v>12</v>
      </c>
      <c r="J131" s="17" t="str">
        <f t="shared" si="17"/>
        <v>12</v>
      </c>
      <c r="K131" s="18" t="str">
        <f t="shared" si="18"/>
        <v>100.2</v>
      </c>
      <c r="L131" s="27" t="str">
        <f t="shared" si="19"/>
        <v>74.1</v>
      </c>
      <c r="M131" s="17" t="str">
        <f t="array" ref="M131">SUMPRODUCT((COUNTIFS(CONSTANTS!$I$105:$I$323,$E131,CONSTANTS!$D$105:$D$323,CONSTANTS!$A$57:$A$63)&gt;0)*1)</f>
        <v>1</v>
      </c>
      <c r="N131" s="17" t="str">
        <f>MAXIFS(CONSTANTS!$C$105:$C$323,CONSTANTS!$I$105:$I$323,$E131)</f>
        <v>100</v>
      </c>
      <c r="O131" s="17" t="str">
        <f>SUMIFS(CONSTANTS!$J$105:$J$323,CONSTANTS!$I$105:$I$323,$E131)</f>
        <v>300</v>
      </c>
    </row>
    <row r="132" ht="14.25" customHeight="1">
      <c r="A132" s="8">
        <v>8.0</v>
      </c>
      <c r="B132" s="8" t="s">
        <v>164</v>
      </c>
      <c r="C132" s="8">
        <v>10.0</v>
      </c>
      <c r="D132" s="6">
        <v>76.0</v>
      </c>
      <c r="E132" s="16" t="str">
        <f t="shared" si="16"/>
        <v>8-10</v>
      </c>
      <c r="F132" s="17" t="str">
        <f>SUMIFS(CONSTANTS!$E$105:$E$323,CONSTANTS!$I$105:$I$323,$E132)</f>
        <v>18</v>
      </c>
      <c r="G132" s="17" t="str">
        <f>SUMIFS(CONSTANTS!$K$105:$K$323,CONSTANTS!$I$105:$I$323,$E132)</f>
        <v>500</v>
      </c>
      <c r="H132" s="17" t="str">
        <f>SUMIFS(CONSTANTS!$L$105:$L$323,CONSTANTS!$I$105:$I$323,$E132)</f>
        <v>1371</v>
      </c>
      <c r="I132" s="17" t="str">
        <f>MAXIFS(CONSTANTS!$M$105:$M$323,CONSTANTS!$I$105:$I$323,$E132)</f>
        <v>11</v>
      </c>
      <c r="J132" s="17" t="str">
        <f t="shared" si="17"/>
        <v>11</v>
      </c>
      <c r="K132" s="18" t="str">
        <f t="shared" si="18"/>
        <v>124.6</v>
      </c>
      <c r="L132" s="27" t="str">
        <f t="shared" si="19"/>
        <v>84.5</v>
      </c>
      <c r="M132" s="17" t="str">
        <f t="array" ref="M132">SUMPRODUCT((COUNTIFS(CONSTANTS!$I$105:$I$323,$E132,CONSTANTS!$D$105:$D$323,CONSTANTS!$A$57:$A$63)&gt;0)*1)</f>
        <v>2</v>
      </c>
      <c r="N132" s="17" t="str">
        <f>MAXIFS(CONSTANTS!$C$105:$C$323,CONSTANTS!$I$105:$I$323,$E132)</f>
        <v>100</v>
      </c>
      <c r="O132" s="17" t="str">
        <f>SUMIFS(CONSTANTS!$J$105:$J$323,CONSTANTS!$I$105:$I$323,$E132)</f>
        <v>315</v>
      </c>
    </row>
    <row r="133" ht="14.25" customHeight="1">
      <c r="A133" s="8">
        <v>9.0</v>
      </c>
      <c r="B133" s="8" t="s">
        <v>165</v>
      </c>
      <c r="C133" s="8">
        <v>1.0</v>
      </c>
      <c r="D133" s="6">
        <v>77.0</v>
      </c>
      <c r="E133" s="16" t="str">
        <f t="shared" si="16"/>
        <v>9-1</v>
      </c>
      <c r="F133" s="17" t="str">
        <f>SUMIFS(CONSTANTS!$E$105:$E$323,CONSTANTS!$I$105:$I$323,$E133)</f>
        <v>5</v>
      </c>
      <c r="G133" s="17" t="str">
        <f>SUMIFS(CONSTANTS!$K$105:$K$323,CONSTANTS!$I$105:$I$323,$E133)</f>
        <v>100</v>
      </c>
      <c r="H133" s="17" t="str">
        <f>SUMIFS(CONSTANTS!$L$105:$L$323,CONSTANTS!$I$105:$I$323,$E133)</f>
        <v>184</v>
      </c>
      <c r="I133" s="17" t="str">
        <f>MAXIFS(CONSTANTS!$M$105:$M$323,CONSTANTS!$I$105:$I$323,$E133)</f>
        <v>6</v>
      </c>
      <c r="J133" s="17" t="str">
        <f t="shared" si="17"/>
        <v>6</v>
      </c>
      <c r="K133" s="18" t="str">
        <f t="shared" si="18"/>
        <v>30.6</v>
      </c>
      <c r="L133" s="27" t="str">
        <f t="shared" si="19"/>
        <v>11.3</v>
      </c>
      <c r="M133" s="17" t="str">
        <f t="array" ref="M133">SUMPRODUCT((COUNTIFS(CONSTANTS!$I$105:$I$323,$E133,CONSTANTS!$D$105:$D$323,CONSTANTS!$A$57:$A$63)&gt;0)*1)</f>
        <v>1</v>
      </c>
      <c r="N133" s="17" t="str">
        <f>MAXIFS(CONSTANTS!$C$105:$C$323,CONSTANTS!$I$105:$I$323,$E133)</f>
        <v>0</v>
      </c>
      <c r="O133" s="17" t="str">
        <f>SUMIFS(CONSTANTS!$J$105:$J$323,CONSTANTS!$I$105:$I$323,$E133)</f>
        <v>50</v>
      </c>
    </row>
    <row r="134" ht="14.25" customHeight="1">
      <c r="A134" s="8">
        <v>9.0</v>
      </c>
      <c r="B134" s="8" t="s">
        <v>165</v>
      </c>
      <c r="C134" s="8">
        <v>2.0</v>
      </c>
      <c r="D134" s="6">
        <v>78.0</v>
      </c>
      <c r="E134" s="16" t="str">
        <f t="shared" si="16"/>
        <v>9-2</v>
      </c>
      <c r="F134" s="17" t="str">
        <f>SUMIFS(CONSTANTS!$E$105:$E$323,CONSTANTS!$I$105:$I$323,$E134)</f>
        <v>16</v>
      </c>
      <c r="G134" s="17" t="str">
        <f>SUMIFS(CONSTANTS!$K$105:$K$323,CONSTANTS!$I$105:$I$323,$E134)</f>
        <v>380</v>
      </c>
      <c r="H134" s="17" t="str">
        <f>SUMIFS(CONSTANTS!$L$105:$L$323,CONSTANTS!$I$105:$I$323,$E134)</f>
        <v>752</v>
      </c>
      <c r="I134" s="17" t="str">
        <f>MAXIFS(CONSTANTS!$M$105:$M$323,CONSTANTS!$I$105:$I$323,$E134)</f>
        <v>5</v>
      </c>
      <c r="J134" s="17" t="str">
        <f t="shared" si="17"/>
        <v>5</v>
      </c>
      <c r="K134" s="18" t="str">
        <f t="shared" si="18"/>
        <v>150.5</v>
      </c>
      <c r="L134" s="27" t="str">
        <f t="shared" si="19"/>
        <v>46.4</v>
      </c>
      <c r="M134" s="17" t="str">
        <f t="array" ref="M134">SUMPRODUCT((COUNTIFS(CONSTANTS!$I$105:$I$323,$E134,CONSTANTS!$D$105:$D$323,CONSTANTS!$A$57:$A$63)&gt;0)*1)</f>
        <v>2</v>
      </c>
      <c r="N134" s="17" t="str">
        <f>MAXIFS(CONSTANTS!$C$105:$C$323,CONSTANTS!$I$105:$I$323,$E134)</f>
        <v>0</v>
      </c>
      <c r="O134" s="17" t="str">
        <f>SUMIFS(CONSTANTS!$J$105:$J$323,CONSTANTS!$I$105:$I$323,$E134)</f>
        <v>208</v>
      </c>
    </row>
    <row r="135" ht="14.25" customHeight="1">
      <c r="A135" s="8">
        <v>9.0</v>
      </c>
      <c r="B135" s="8" t="s">
        <v>165</v>
      </c>
      <c r="C135" s="8">
        <v>3.0</v>
      </c>
      <c r="D135" s="6">
        <v>79.0</v>
      </c>
      <c r="E135" s="16" t="str">
        <f t="shared" si="16"/>
        <v>9-3</v>
      </c>
      <c r="F135" s="17" t="str">
        <f>SUMIFS(CONSTANTS!$E$105:$E$323,CONSTANTS!$I$105:$I$323,$E135)</f>
        <v>15</v>
      </c>
      <c r="G135" s="17" t="str">
        <f>SUMIFS(CONSTANTS!$K$105:$K$323,CONSTANTS!$I$105:$I$323,$E135)</f>
        <v>350</v>
      </c>
      <c r="H135" s="17" t="str">
        <f>SUMIFS(CONSTANTS!$L$105:$L$323,CONSTANTS!$I$105:$I$323,$E135)</f>
        <v>1242</v>
      </c>
      <c r="I135" s="17" t="str">
        <f>MAXIFS(CONSTANTS!$M$105:$M$323,CONSTANTS!$I$105:$I$323,$E135)</f>
        <v>5</v>
      </c>
      <c r="J135" s="17" t="str">
        <f t="shared" si="17"/>
        <v>5</v>
      </c>
      <c r="K135" s="18" t="str">
        <f t="shared" si="18"/>
        <v>248.3</v>
      </c>
      <c r="L135" s="27" t="str">
        <f t="shared" si="19"/>
        <v>76.5</v>
      </c>
      <c r="M135" s="17" t="str">
        <f t="array" ref="M135">SUMPRODUCT((COUNTIFS(CONSTANTS!$I$105:$I$323,$E135,CONSTANTS!$D$105:$D$323,CONSTANTS!$A$57:$A$63)&gt;0)*1)</f>
        <v>3</v>
      </c>
      <c r="N135" s="17" t="str">
        <f>MAXIFS(CONSTANTS!$C$105:$C$323,CONSTANTS!$I$105:$I$323,$E135)</f>
        <v>100</v>
      </c>
      <c r="O135" s="17" t="str">
        <f>SUMIFS(CONSTANTS!$J$105:$J$323,CONSTANTS!$I$105:$I$323,$E135)</f>
        <v>322</v>
      </c>
    </row>
    <row r="136" ht="14.25" customHeight="1">
      <c r="A136" s="8">
        <v>9.0</v>
      </c>
      <c r="B136" s="8" t="s">
        <v>165</v>
      </c>
      <c r="C136" s="8">
        <v>4.0</v>
      </c>
      <c r="D136" s="6">
        <v>80.0</v>
      </c>
      <c r="E136" s="16" t="str">
        <f t="shared" si="16"/>
        <v>9-4</v>
      </c>
      <c r="F136" s="17" t="str">
        <f>SUMIFS(CONSTANTS!$E$105:$E$323,CONSTANTS!$I$105:$I$323,$E136)</f>
        <v>11</v>
      </c>
      <c r="G136" s="17" t="str">
        <f>SUMIFS(CONSTANTS!$K$105:$K$323,CONSTANTS!$I$105:$I$323,$E136)</f>
        <v>250</v>
      </c>
      <c r="H136" s="17" t="str">
        <f>SUMIFS(CONSTANTS!$L$105:$L$323,CONSTANTS!$I$105:$I$323,$E136)</f>
        <v>487</v>
      </c>
      <c r="I136" s="17" t="str">
        <f>MAXIFS(CONSTANTS!$M$105:$M$323,CONSTANTS!$I$105:$I$323,$E136)</f>
        <v>6</v>
      </c>
      <c r="J136" s="17" t="str">
        <f t="shared" si="17"/>
        <v>6</v>
      </c>
      <c r="K136" s="18" t="str">
        <f t="shared" si="18"/>
        <v>81.1</v>
      </c>
      <c r="L136" s="27" t="str">
        <f t="shared" si="19"/>
        <v>30.0</v>
      </c>
      <c r="M136" s="17" t="str">
        <f t="array" ref="M136">SUMPRODUCT((COUNTIFS(CONSTANTS!$I$105:$I$323,$E136,CONSTANTS!$D$105:$D$323,CONSTANTS!$A$57:$A$63)&gt;0)*1)</f>
        <v>2</v>
      </c>
      <c r="N136" s="17" t="str">
        <f>MAXIFS(CONSTANTS!$C$105:$C$323,CONSTANTS!$I$105:$I$323,$E136)</f>
        <v>0</v>
      </c>
      <c r="O136" s="17" t="str">
        <f>SUMIFS(CONSTANTS!$J$105:$J$323,CONSTANTS!$I$105:$I$323,$E136)</f>
        <v>134</v>
      </c>
    </row>
    <row r="137" ht="14.25" customHeight="1">
      <c r="A137" s="8">
        <v>9.0</v>
      </c>
      <c r="B137" s="8" t="s">
        <v>165</v>
      </c>
      <c r="C137" s="8">
        <v>5.0</v>
      </c>
      <c r="D137" s="6">
        <v>81.0</v>
      </c>
      <c r="E137" s="16" t="str">
        <f t="shared" si="16"/>
        <v>9-5</v>
      </c>
      <c r="F137" s="17" t="str">
        <f>SUMIFS(CONSTANTS!$E$105:$E$323,CONSTANTS!$I$105:$I$323,$E137)</f>
        <v>12</v>
      </c>
      <c r="G137" s="17" t="str">
        <f>SUMIFS(CONSTANTS!$K$105:$K$323,CONSTANTS!$I$105:$I$323,$E137)</f>
        <v>200</v>
      </c>
      <c r="H137" s="17" t="str">
        <f>SUMIFS(CONSTANTS!$L$105:$L$323,CONSTANTS!$I$105:$I$323,$E137)</f>
        <v>384</v>
      </c>
      <c r="I137" s="17" t="str">
        <f>MAXIFS(CONSTANTS!$M$105:$M$323,CONSTANTS!$I$105:$I$323,$E137)</f>
        <v>6</v>
      </c>
      <c r="J137" s="17" t="str">
        <f t="shared" si="17"/>
        <v>6</v>
      </c>
      <c r="K137" s="18" t="str">
        <f t="shared" si="18"/>
        <v>63.9</v>
      </c>
      <c r="L137" s="27" t="str">
        <f t="shared" si="19"/>
        <v>23.6</v>
      </c>
      <c r="M137" s="17" t="str">
        <f t="array" ref="M137">SUMPRODUCT((COUNTIFS(CONSTANTS!$I$105:$I$323,$E137,CONSTANTS!$D$105:$D$323,CONSTANTS!$A$57:$A$63)&gt;0)*1)</f>
        <v>2</v>
      </c>
      <c r="N137" s="17" t="str">
        <f>MAXIFS(CONSTANTS!$C$105:$C$323,CONSTANTS!$I$105:$I$323,$E137)</f>
        <v>100</v>
      </c>
      <c r="O137" s="17" t="str">
        <f>SUMIFS(CONSTANTS!$J$105:$J$323,CONSTANTS!$I$105:$I$323,$E137)</f>
        <v>136</v>
      </c>
    </row>
    <row r="138" ht="14.25" customHeight="1">
      <c r="A138" s="8">
        <v>9.0</v>
      </c>
      <c r="B138" s="8" t="s">
        <v>165</v>
      </c>
      <c r="C138" s="8">
        <v>6.0</v>
      </c>
      <c r="D138" s="6">
        <v>82.0</v>
      </c>
      <c r="E138" s="16" t="str">
        <f t="shared" si="16"/>
        <v>9-6</v>
      </c>
      <c r="F138" s="17" t="str">
        <f>SUMIFS(CONSTANTS!$E$105:$E$323,CONSTANTS!$I$105:$I$323,$E138)</f>
        <v>8</v>
      </c>
      <c r="G138" s="17" t="str">
        <f>SUMIFS(CONSTANTS!$K$105:$K$323,CONSTANTS!$I$105:$I$323,$E138)</f>
        <v>240</v>
      </c>
      <c r="H138" s="17" t="str">
        <f>SUMIFS(CONSTANTS!$L$105:$L$323,CONSTANTS!$I$105:$I$323,$E138)</f>
        <v>513</v>
      </c>
      <c r="I138" s="17" t="str">
        <f>MAXIFS(CONSTANTS!$M$105:$M$323,CONSTANTS!$I$105:$I$323,$E138)</f>
        <v>7</v>
      </c>
      <c r="J138" s="17" t="str">
        <f t="shared" si="17"/>
        <v>7</v>
      </c>
      <c r="K138" s="18" t="str">
        <f t="shared" si="18"/>
        <v>73.3</v>
      </c>
      <c r="L138" s="27" t="str">
        <f t="shared" si="19"/>
        <v>31.6</v>
      </c>
      <c r="M138" s="17" t="str">
        <f t="array" ref="M138">SUMPRODUCT((COUNTIFS(CONSTANTS!$I$105:$I$323,$E138,CONSTANTS!$D$105:$D$323,CONSTANTS!$A$57:$A$63)&gt;0)*1)</f>
        <v>1</v>
      </c>
      <c r="N138" s="17" t="str">
        <f>MAXIFS(CONSTANTS!$C$105:$C$323,CONSTANTS!$I$105:$I$323,$E138)</f>
        <v>500</v>
      </c>
      <c r="O138" s="17" t="str">
        <f>SUMIFS(CONSTANTS!$J$105:$J$323,CONSTANTS!$I$105:$I$323,$E138)</f>
        <v>144</v>
      </c>
    </row>
    <row r="139" ht="14.25" customHeight="1">
      <c r="A139" s="8">
        <v>9.0</v>
      </c>
      <c r="B139" s="8" t="s">
        <v>165</v>
      </c>
      <c r="C139" s="8">
        <v>7.0</v>
      </c>
      <c r="D139" s="6">
        <v>83.0</v>
      </c>
      <c r="E139" s="16" t="str">
        <f t="shared" si="16"/>
        <v>9-7</v>
      </c>
      <c r="F139" s="17" t="str">
        <f>SUMIFS(CONSTANTS!$E$105:$E$323,CONSTANTS!$I$105:$I$323,$E139)</f>
        <v>25</v>
      </c>
      <c r="G139" s="17" t="str">
        <f>SUMIFS(CONSTANTS!$K$105:$K$323,CONSTANTS!$I$105:$I$323,$E139)</f>
        <v>500</v>
      </c>
      <c r="H139" s="17" t="str">
        <f>SUMIFS(CONSTANTS!$L$105:$L$323,CONSTANTS!$I$105:$I$323,$E139)</f>
        <v>919</v>
      </c>
      <c r="I139" s="17" t="str">
        <f>MAXIFS(CONSTANTS!$M$105:$M$323,CONSTANTS!$I$105:$I$323,$E139)</f>
        <v>17</v>
      </c>
      <c r="J139" s="17" t="str">
        <f t="shared" si="17"/>
        <v>17</v>
      </c>
      <c r="K139" s="18" t="str">
        <f t="shared" si="18"/>
        <v>54.1</v>
      </c>
      <c r="L139" s="27" t="str">
        <f t="shared" si="19"/>
        <v>56.7</v>
      </c>
      <c r="M139" s="17" t="str">
        <f t="array" ref="M139">SUMPRODUCT((COUNTIFS(CONSTANTS!$I$105:$I$323,$E139,CONSTANTS!$D$105:$D$323,CONSTANTS!$A$57:$A$63)&gt;0)*1)</f>
        <v>1</v>
      </c>
      <c r="N139" s="17" t="str">
        <f>MAXIFS(CONSTANTS!$C$105:$C$323,CONSTANTS!$I$105:$I$323,$E139)</f>
        <v>0</v>
      </c>
      <c r="O139" s="17" t="str">
        <f>SUMIFS(CONSTANTS!$J$105:$J$323,CONSTANTS!$I$105:$I$323,$E139)</f>
        <v>250</v>
      </c>
    </row>
    <row r="140" ht="14.25" customHeight="1">
      <c r="A140" s="8">
        <v>10.0</v>
      </c>
      <c r="B140" s="8" t="s">
        <v>166</v>
      </c>
      <c r="C140" s="8">
        <v>1.0</v>
      </c>
      <c r="D140" s="6">
        <v>84.0</v>
      </c>
      <c r="E140" s="16" t="str">
        <f t="shared" si="16"/>
        <v>10-1</v>
      </c>
      <c r="F140" s="17" t="str">
        <f>SUMIFS(CONSTANTS!$E$105:$E$323,CONSTANTS!$I$105:$I$323,$E140)</f>
        <v>9</v>
      </c>
      <c r="G140" s="17" t="str">
        <f>SUMIFS(CONSTANTS!$K$105:$K$323,CONSTANTS!$I$105:$I$323,$E140)</f>
        <v>200</v>
      </c>
      <c r="H140" s="17" t="str">
        <f>SUMIFS(CONSTANTS!$L$105:$L$323,CONSTANTS!$I$105:$I$323,$E140)</f>
        <v>456</v>
      </c>
      <c r="I140" s="17" t="str">
        <f>MAXIFS(CONSTANTS!$M$105:$M$323,CONSTANTS!$I$105:$I$323,$E140)</f>
        <v>6</v>
      </c>
      <c r="J140" s="17" t="str">
        <f t="shared" si="17"/>
        <v>6</v>
      </c>
      <c r="K140" s="18" t="str">
        <f t="shared" si="18"/>
        <v>76.0</v>
      </c>
      <c r="L140" s="27" t="str">
        <f t="shared" si="19"/>
        <v>28.1</v>
      </c>
      <c r="M140" s="17" t="str">
        <f t="array" ref="M140">SUMPRODUCT((COUNTIFS(CONSTANTS!$I$105:$I$323,$E140,CONSTANTS!$D$105:$D$323,CONSTANTS!$A$57:$A$63)&gt;0)*1)</f>
        <v>3</v>
      </c>
      <c r="N140" s="17" t="str">
        <f>MAXIFS(CONSTANTS!$C$105:$C$323,CONSTANTS!$I$105:$I$323,$E140)</f>
        <v>300</v>
      </c>
      <c r="O140" s="17" t="str">
        <f>SUMIFS(CONSTANTS!$J$105:$J$323,CONSTANTS!$I$105:$I$323,$E140)</f>
        <v>121</v>
      </c>
    </row>
    <row r="141" ht="14.25" customHeight="1">
      <c r="A141" s="8">
        <v>10.0</v>
      </c>
      <c r="B141" s="8" t="s">
        <v>166</v>
      </c>
      <c r="C141" s="8">
        <v>2.0</v>
      </c>
      <c r="D141" s="6">
        <v>85.0</v>
      </c>
      <c r="E141" s="16" t="str">
        <f t="shared" si="16"/>
        <v>10-2</v>
      </c>
      <c r="F141" s="17" t="str">
        <f>SUMIFS(CONSTANTS!$E$105:$E$323,CONSTANTS!$I$105:$I$323,$E141)</f>
        <v>15</v>
      </c>
      <c r="G141" s="17" t="str">
        <f>SUMIFS(CONSTANTS!$K$105:$K$323,CONSTANTS!$I$105:$I$323,$E141)</f>
        <v>400</v>
      </c>
      <c r="H141" s="17" t="str">
        <f>SUMIFS(CONSTANTS!$L$105:$L$323,CONSTANTS!$I$105:$I$323,$E141)</f>
        <v>1151</v>
      </c>
      <c r="I141" s="17" t="str">
        <f>MAXIFS(CONSTANTS!$M$105:$M$323,CONSTANTS!$I$105:$I$323,$E141)</f>
        <v>6</v>
      </c>
      <c r="J141" s="17" t="str">
        <f t="shared" si="17"/>
        <v>6</v>
      </c>
      <c r="K141" s="18" t="str">
        <f t="shared" si="18"/>
        <v>191.8</v>
      </c>
      <c r="L141" s="27" t="str">
        <f t="shared" si="19"/>
        <v>70.9</v>
      </c>
      <c r="M141" s="17" t="str">
        <f t="array" ref="M141">SUMPRODUCT((COUNTIFS(CONSTANTS!$I$105:$I$323,$E141,CONSTANTS!$D$105:$D$323,CONSTANTS!$A$57:$A$63)&gt;0)*1)</f>
        <v>3</v>
      </c>
      <c r="N141" s="17" t="str">
        <f>MAXIFS(CONSTANTS!$C$105:$C$323,CONSTANTS!$I$105:$I$323,$E141)</f>
        <v>0</v>
      </c>
      <c r="O141" s="17" t="str">
        <f>SUMIFS(CONSTANTS!$J$105:$J$323,CONSTANTS!$I$105:$I$323,$E141)</f>
        <v>278</v>
      </c>
    </row>
    <row r="142" ht="14.25" customHeight="1">
      <c r="A142" s="8">
        <v>10.0</v>
      </c>
      <c r="B142" s="8" t="s">
        <v>166</v>
      </c>
      <c r="C142" s="8">
        <v>3.0</v>
      </c>
      <c r="D142" s="6">
        <v>86.0</v>
      </c>
      <c r="E142" s="16" t="str">
        <f t="shared" si="16"/>
        <v>10-3</v>
      </c>
      <c r="F142" s="17" t="str">
        <f>SUMIFS(CONSTANTS!$E$105:$E$323,CONSTANTS!$I$105:$I$323,$E142)</f>
        <v>14</v>
      </c>
      <c r="G142" s="17" t="str">
        <f>SUMIFS(CONSTANTS!$K$105:$K$323,CONSTANTS!$I$105:$I$323,$E142)</f>
        <v>380</v>
      </c>
      <c r="H142" s="17" t="str">
        <f>SUMIFS(CONSTANTS!$L$105:$L$323,CONSTANTS!$I$105:$I$323,$E142)</f>
        <v>1603</v>
      </c>
      <c r="I142" s="17" t="str">
        <f>MAXIFS(CONSTANTS!$M$105:$M$323,CONSTANTS!$I$105:$I$323,$E142)</f>
        <v>6</v>
      </c>
      <c r="J142" s="17" t="str">
        <f t="shared" si="17"/>
        <v>6</v>
      </c>
      <c r="K142" s="18" t="str">
        <f t="shared" si="18"/>
        <v>267.1</v>
      </c>
      <c r="L142" s="27" t="str">
        <f t="shared" si="19"/>
        <v>98.8</v>
      </c>
      <c r="M142" s="17" t="str">
        <f t="array" ref="M142">SUMPRODUCT((COUNTIFS(CONSTANTS!$I$105:$I$323,$E142,CONSTANTS!$D$105:$D$323,CONSTANTS!$A$57:$A$63)&gt;0)*1)</f>
        <v>2</v>
      </c>
      <c r="N142" s="17" t="str">
        <f>MAXIFS(CONSTANTS!$C$105:$C$323,CONSTANTS!$I$105:$I$323,$E142)</f>
        <v>100</v>
      </c>
      <c r="O142" s="17" t="str">
        <f>SUMIFS(CONSTANTS!$J$105:$J$323,CONSTANTS!$I$105:$I$323,$E142)</f>
        <v>340</v>
      </c>
    </row>
    <row r="143" ht="14.25" customHeight="1">
      <c r="A143" s="8">
        <v>10.0</v>
      </c>
      <c r="B143" s="8" t="s">
        <v>166</v>
      </c>
      <c r="C143" s="8">
        <v>4.0</v>
      </c>
      <c r="D143" s="6">
        <v>87.0</v>
      </c>
      <c r="E143" s="16" t="str">
        <f t="shared" si="16"/>
        <v>10-4</v>
      </c>
      <c r="F143" s="17" t="str">
        <f>SUMIFS(CONSTANTS!$E$105:$E$323,CONSTANTS!$I$105:$I$323,$E143)</f>
        <v>17</v>
      </c>
      <c r="G143" s="17" t="str">
        <f>SUMIFS(CONSTANTS!$K$105:$K$323,CONSTANTS!$I$105:$I$323,$E143)</f>
        <v>370</v>
      </c>
      <c r="H143" s="17" t="str">
        <f>SUMIFS(CONSTANTS!$L$105:$L$323,CONSTANTS!$I$105:$I$323,$E143)</f>
        <v>1139</v>
      </c>
      <c r="I143" s="17" t="str">
        <f>MAXIFS(CONSTANTS!$M$105:$M$323,CONSTANTS!$I$105:$I$323,$E143)</f>
        <v>6</v>
      </c>
      <c r="J143" s="17" t="str">
        <f t="shared" si="17"/>
        <v>6</v>
      </c>
      <c r="K143" s="18" t="str">
        <f t="shared" si="18"/>
        <v>189.9</v>
      </c>
      <c r="L143" s="27" t="str">
        <f t="shared" si="19"/>
        <v>70.2</v>
      </c>
      <c r="M143" s="17" t="str">
        <f t="array" ref="M143">SUMPRODUCT((COUNTIFS(CONSTANTS!$I$105:$I$323,$E143,CONSTANTS!$D$105:$D$323,CONSTANTS!$A$57:$A$63)&gt;0)*1)</f>
        <v>4</v>
      </c>
      <c r="N143" s="17" t="str">
        <f>MAXIFS(CONSTANTS!$C$105:$C$323,CONSTANTS!$I$105:$I$323,$E143)</f>
        <v>100</v>
      </c>
      <c r="O143" s="17" t="str">
        <f>SUMIFS(CONSTANTS!$J$105:$J$323,CONSTANTS!$I$105:$I$323,$E143)</f>
        <v>274</v>
      </c>
    </row>
    <row r="144" ht="14.25" customHeight="1">
      <c r="A144" s="8">
        <v>10.0</v>
      </c>
      <c r="B144" s="8" t="s">
        <v>166</v>
      </c>
      <c r="C144" s="8">
        <v>5.0</v>
      </c>
      <c r="D144" s="6">
        <v>88.0</v>
      </c>
      <c r="E144" s="16" t="str">
        <f t="shared" si="16"/>
        <v>10-5</v>
      </c>
      <c r="F144" s="17" t="str">
        <f>SUMIFS(CONSTANTS!$E$105:$E$323,CONSTANTS!$I$105:$I$323,$E144)</f>
        <v>12</v>
      </c>
      <c r="G144" s="17" t="str">
        <f>SUMIFS(CONSTANTS!$K$105:$K$323,CONSTANTS!$I$105:$I$323,$E144)</f>
        <v>520</v>
      </c>
      <c r="H144" s="17" t="str">
        <f>SUMIFS(CONSTANTS!$L$105:$L$323,CONSTANTS!$I$105:$I$323,$E144)</f>
        <v>1065</v>
      </c>
      <c r="I144" s="17" t="str">
        <f>MAXIFS(CONSTANTS!$M$105:$M$323,CONSTANTS!$I$105:$I$323,$E144)</f>
        <v>8</v>
      </c>
      <c r="J144" s="17" t="str">
        <f t="shared" si="17"/>
        <v>8</v>
      </c>
      <c r="K144" s="18" t="str">
        <f t="shared" si="18"/>
        <v>133.1</v>
      </c>
      <c r="L144" s="27" t="str">
        <f t="shared" si="19"/>
        <v>65.6</v>
      </c>
      <c r="M144" s="17" t="str">
        <f t="array" ref="M144">SUMPRODUCT((COUNTIFS(CONSTANTS!$I$105:$I$323,$E144,CONSTANTS!$D$105:$D$323,CONSTANTS!$A$57:$A$63)&gt;0)*1)</f>
        <v>2</v>
      </c>
      <c r="N144" s="17" t="str">
        <f>MAXIFS(CONSTANTS!$C$105:$C$323,CONSTANTS!$I$105:$I$323,$E144)</f>
        <v>100</v>
      </c>
      <c r="O144" s="17" t="str">
        <f>SUMIFS(CONSTANTS!$J$105:$J$323,CONSTANTS!$I$105:$I$323,$E144)</f>
        <v>220</v>
      </c>
    </row>
    <row r="145" ht="14.25" customHeight="1">
      <c r="A145" s="8">
        <v>10.0</v>
      </c>
      <c r="B145" s="8" t="s">
        <v>166</v>
      </c>
      <c r="C145" s="8">
        <v>6.0</v>
      </c>
      <c r="D145" s="6">
        <v>89.0</v>
      </c>
      <c r="E145" s="16" t="str">
        <f t="shared" si="16"/>
        <v>10-6</v>
      </c>
      <c r="F145" s="17" t="str">
        <f>SUMIFS(CONSTANTS!$E$105:$E$323,CONSTANTS!$I$105:$I$323,$E145)</f>
        <v>9</v>
      </c>
      <c r="G145" s="17" t="str">
        <f>SUMIFS(CONSTANTS!$K$105:$K$323,CONSTANTS!$I$105:$I$323,$E145)</f>
        <v>760</v>
      </c>
      <c r="H145" s="17" t="str">
        <f>SUMIFS(CONSTANTS!$L$105:$L$323,CONSTANTS!$I$105:$I$323,$E145)</f>
        <v>704</v>
      </c>
      <c r="I145" s="17" t="str">
        <f>MAXIFS(CONSTANTS!$M$105:$M$323,CONSTANTS!$I$105:$I$323,$E145)</f>
        <v>7</v>
      </c>
      <c r="J145" s="17" t="str">
        <f t="shared" si="17"/>
        <v>7</v>
      </c>
      <c r="K145" s="18" t="str">
        <f t="shared" si="18"/>
        <v>100.5</v>
      </c>
      <c r="L145" s="27" t="str">
        <f t="shared" si="19"/>
        <v>43.4</v>
      </c>
      <c r="M145" s="17" t="str">
        <f t="array" ref="M145">SUMPRODUCT((COUNTIFS(CONSTANTS!$I$105:$I$323,$E145,CONSTANTS!$D$105:$D$323,CONSTANTS!$A$57:$A$63)&gt;0)*1)</f>
        <v>2</v>
      </c>
      <c r="N145" s="17" t="str">
        <f>MAXIFS(CONSTANTS!$C$105:$C$323,CONSTANTS!$I$105:$I$323,$E145)</f>
        <v>100</v>
      </c>
      <c r="O145" s="17" t="str">
        <f>SUMIFS(CONSTANTS!$J$105:$J$323,CONSTANTS!$I$105:$I$323,$E145)</f>
        <v>260</v>
      </c>
    </row>
    <row r="146" ht="14.25" customHeight="1">
      <c r="A146" s="8">
        <v>10.0</v>
      </c>
      <c r="B146" s="8" t="s">
        <v>166</v>
      </c>
      <c r="C146" s="8">
        <v>7.0</v>
      </c>
      <c r="D146" s="6">
        <v>90.0</v>
      </c>
      <c r="E146" s="16" t="str">
        <f t="shared" si="16"/>
        <v>10-7</v>
      </c>
      <c r="F146" s="17" t="str">
        <f>SUMIFS(CONSTANTS!$E$105:$E$323,CONSTANTS!$I$105:$I$323,$E146)</f>
        <v>17</v>
      </c>
      <c r="G146" s="17" t="str">
        <f>SUMIFS(CONSTANTS!$K$105:$K$323,CONSTANTS!$I$105:$I$323,$E146)</f>
        <v>420</v>
      </c>
      <c r="H146" s="17" t="str">
        <f>SUMIFS(CONSTANTS!$L$105:$L$323,CONSTANTS!$I$105:$I$323,$E146)</f>
        <v>844</v>
      </c>
      <c r="I146" s="17" t="str">
        <f>MAXIFS(CONSTANTS!$M$105:$M$323,CONSTANTS!$I$105:$I$323,$E146)</f>
        <v>10</v>
      </c>
      <c r="J146" s="17" t="str">
        <f t="shared" si="17"/>
        <v>10</v>
      </c>
      <c r="K146" s="18" t="str">
        <f t="shared" si="18"/>
        <v>84.4</v>
      </c>
      <c r="L146" s="27" t="str">
        <f t="shared" si="19"/>
        <v>52.0</v>
      </c>
      <c r="M146" s="17" t="str">
        <f t="array" ref="M146">SUMPRODUCT((COUNTIFS(CONSTANTS!$I$105:$I$323,$E146,CONSTANTS!$D$105:$D$323,CONSTANTS!$A$57:$A$63)&gt;0)*1)</f>
        <v>2</v>
      </c>
      <c r="N146" s="17" t="str">
        <f>MAXIFS(CONSTANTS!$C$105:$C$323,CONSTANTS!$I$105:$I$323,$E146)</f>
        <v>100</v>
      </c>
      <c r="O146" s="17" t="str">
        <f>SUMIFS(CONSTANTS!$J$105:$J$323,CONSTANTS!$I$105:$I$323,$E146)</f>
        <v>234</v>
      </c>
    </row>
    <row r="147" ht="14.25" customHeight="1">
      <c r="A147" s="8">
        <v>10.0</v>
      </c>
      <c r="B147" s="8" t="s">
        <v>166</v>
      </c>
      <c r="C147" s="8">
        <v>8.0</v>
      </c>
      <c r="D147" s="6">
        <v>91.0</v>
      </c>
      <c r="E147" s="16" t="str">
        <f t="shared" si="16"/>
        <v>10-8</v>
      </c>
      <c r="F147" s="17" t="str">
        <f>SUMIFS(CONSTANTS!$E$105:$E$323,CONSTANTS!$I$105:$I$323,$E147)</f>
        <v>19</v>
      </c>
      <c r="G147" s="17" t="str">
        <f>SUMIFS(CONSTANTS!$K$105:$K$323,CONSTANTS!$I$105:$I$323,$E147)</f>
        <v>290</v>
      </c>
      <c r="H147" s="17" t="str">
        <f>SUMIFS(CONSTANTS!$L$105:$L$323,CONSTANTS!$I$105:$I$323,$E147)</f>
        <v>569</v>
      </c>
      <c r="I147" s="17" t="str">
        <f>MAXIFS(CONSTANTS!$M$105:$M$323,CONSTANTS!$I$105:$I$323,$E147)</f>
        <v>13</v>
      </c>
      <c r="J147" s="17" t="str">
        <f t="shared" si="17"/>
        <v>13</v>
      </c>
      <c r="K147" s="18" t="str">
        <f t="shared" si="18"/>
        <v>43.8</v>
      </c>
      <c r="L147" s="27" t="str">
        <f t="shared" si="19"/>
        <v>35.1</v>
      </c>
      <c r="M147" s="17" t="str">
        <f t="array" ref="M147">SUMPRODUCT((COUNTIFS(CONSTANTS!$I$105:$I$323,$E147,CONSTANTS!$D$105:$D$323,CONSTANTS!$A$57:$A$63)&gt;0)*1)</f>
        <v>2</v>
      </c>
      <c r="N147" s="17" t="str">
        <f>MAXIFS(CONSTANTS!$C$105:$C$323,CONSTANTS!$I$105:$I$323,$E147)</f>
        <v>0</v>
      </c>
      <c r="O147" s="17" t="str">
        <f>SUMIFS(CONSTANTS!$J$105:$J$323,CONSTANTS!$I$105:$I$323,$E147)</f>
        <v>226</v>
      </c>
    </row>
    <row r="148" ht="14.25" customHeight="1">
      <c r="A148" s="8">
        <v>10.0</v>
      </c>
      <c r="B148" s="8" t="s">
        <v>166</v>
      </c>
      <c r="C148" s="8">
        <v>9.0</v>
      </c>
      <c r="D148" s="6">
        <v>92.0</v>
      </c>
      <c r="E148" s="16" t="str">
        <f t="shared" si="16"/>
        <v>10-9</v>
      </c>
      <c r="F148" s="17" t="str">
        <f>SUMIFS(CONSTANTS!$E$105:$E$323,CONSTANTS!$I$105:$I$323,$E148)</f>
        <v>24</v>
      </c>
      <c r="G148" s="17" t="str">
        <f>SUMIFS(CONSTANTS!$K$105:$K$323,CONSTANTS!$I$105:$I$323,$E148)</f>
        <v>510</v>
      </c>
      <c r="H148" s="17" t="str">
        <f>SUMIFS(CONSTANTS!$L$105:$L$323,CONSTANTS!$I$105:$I$323,$E148)</f>
        <v>1365</v>
      </c>
      <c r="I148" s="17" t="str">
        <f>MAXIFS(CONSTANTS!$M$105:$M$323,CONSTANTS!$I$105:$I$323,$E148)</f>
        <v>8</v>
      </c>
      <c r="J148" s="17" t="str">
        <f t="shared" si="17"/>
        <v>8</v>
      </c>
      <c r="K148" s="18" t="str">
        <f t="shared" si="18"/>
        <v>170.6</v>
      </c>
      <c r="L148" s="27" t="str">
        <f t="shared" si="19"/>
        <v>84.1</v>
      </c>
      <c r="M148" s="17" t="str">
        <f t="array" ref="M148">SUMPRODUCT((COUNTIFS(CONSTANTS!$I$105:$I$323,$E148,CONSTANTS!$D$105:$D$323,CONSTANTS!$A$57:$A$63)&gt;0)*1)</f>
        <v>5</v>
      </c>
      <c r="N148" s="17" t="str">
        <f>MAXIFS(CONSTANTS!$C$105:$C$323,CONSTANTS!$I$105:$I$323,$E148)</f>
        <v>0</v>
      </c>
      <c r="O148" s="17" t="str">
        <f>SUMIFS(CONSTANTS!$J$105:$J$323,CONSTANTS!$I$105:$I$323,$E148)</f>
        <v>361</v>
      </c>
    </row>
    <row r="149" ht="14.25" customHeight="1">
      <c r="A149" s="8">
        <v>10.0</v>
      </c>
      <c r="B149" s="8" t="s">
        <v>166</v>
      </c>
      <c r="C149" s="8">
        <v>10.0</v>
      </c>
      <c r="D149" s="6">
        <v>93.0</v>
      </c>
      <c r="E149" s="16" t="str">
        <f t="shared" si="16"/>
        <v>10-10</v>
      </c>
      <c r="F149" s="17" t="str">
        <f>SUMIFS(CONSTANTS!$E$105:$E$323,CONSTANTS!$I$105:$I$323,$E149)</f>
        <v>1</v>
      </c>
      <c r="G149" s="17" t="str">
        <f>SUMIFS(CONSTANTS!$K$105:$K$323,CONSTANTS!$I$105:$I$323,$E149)</f>
        <v>20</v>
      </c>
      <c r="H149" s="17" t="str">
        <f>SUMIFS(CONSTANTS!$L$105:$L$323,CONSTANTS!$I$105:$I$323,$E149)</f>
        <v>37</v>
      </c>
      <c r="I149" s="17" t="str">
        <f>MAXIFS(CONSTANTS!$M$105:$M$323,CONSTANTS!$I$105:$I$323,$E149)</f>
        <v>0</v>
      </c>
      <c r="J149" s="17" t="str">
        <f t="shared" si="17"/>
        <v>3</v>
      </c>
      <c r="K149" s="18" t="str">
        <f t="shared" si="18"/>
        <v>12.3</v>
      </c>
      <c r="L149" s="27" t="str">
        <f t="shared" si="19"/>
        <v>2.3</v>
      </c>
      <c r="M149" s="17" t="str">
        <f t="array" ref="M149">SUMPRODUCT((COUNTIFS(CONSTANTS!$I$105:$I$323,$E149,CONSTANTS!$D$105:$D$323,CONSTANTS!$A$57:$A$63)&gt;0)*1)</f>
        <v>1</v>
      </c>
      <c r="N149" s="17" t="str">
        <f>MAXIFS(CONSTANTS!$C$105:$C$323,CONSTANTS!$I$105:$I$323,$E149)</f>
        <v>0</v>
      </c>
      <c r="O149" s="17" t="str">
        <f>SUMIFS(CONSTANTS!$J$105:$J$323,CONSTANTS!$I$105:$I$323,$E149)</f>
        <v>10</v>
      </c>
    </row>
    <row r="150" ht="14.25" customHeight="1"/>
    <row r="151" ht="14.25" customHeight="1">
      <c r="A151" s="3" t="s">
        <v>281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ht="14.25" customHeight="1">
      <c r="A152" s="2" t="s">
        <v>282</v>
      </c>
    </row>
    <row r="153" ht="33.75" customHeight="1">
      <c r="A153" s="5" t="s">
        <v>149</v>
      </c>
      <c r="B153" s="5" t="s">
        <v>150</v>
      </c>
      <c r="C153" s="5" t="s">
        <v>151</v>
      </c>
      <c r="D153" s="5" t="s">
        <v>153</v>
      </c>
      <c r="E153" s="5" t="s">
        <v>272</v>
      </c>
      <c r="F153" s="5" t="s">
        <v>273</v>
      </c>
      <c r="G153" s="5" t="s">
        <v>274</v>
      </c>
      <c r="H153" s="5" t="s">
        <v>283</v>
      </c>
      <c r="I153" s="5" t="s">
        <v>284</v>
      </c>
      <c r="J153" s="5" t="s">
        <v>285</v>
      </c>
      <c r="K153" s="5" t="s">
        <v>286</v>
      </c>
      <c r="L153" s="5" t="s">
        <v>287</v>
      </c>
      <c r="M153" s="5" t="s">
        <v>288</v>
      </c>
      <c r="N153" s="5" t="s">
        <v>289</v>
      </c>
      <c r="O153" s="5" t="s">
        <v>290</v>
      </c>
      <c r="P153" s="5" t="s">
        <v>291</v>
      </c>
      <c r="Q153" s="5" t="s">
        <v>154</v>
      </c>
      <c r="R153" s="5" t="s">
        <v>156</v>
      </c>
    </row>
    <row r="154" ht="14.25" customHeight="1">
      <c r="A154" s="6">
        <v>1.0</v>
      </c>
      <c r="B154" s="8" t="s">
        <v>157</v>
      </c>
      <c r="C154" s="17" t="str">
        <f>CONSTANTS!$C$74</f>
        <v>20</v>
      </c>
      <c r="D154" s="17" t="str">
        <f t="shared" ref="D154:D163" si="20">COUNTIFS($A$57:$A$149,$A154)</f>
        <v>8</v>
      </c>
      <c r="E154" s="17" t="str">
        <f t="shared" ref="E154:E163" si="21">SUMIFS($F$57:$F$149,$A$57:$A$149,$A154)</f>
        <v>54</v>
      </c>
      <c r="F154" s="33" t="str">
        <f t="shared" ref="F154:F163" si="22">SUMIFS($G$57:$G$149,$A$57:$A$149,$A154)</f>
        <v>1,200</v>
      </c>
      <c r="G154" s="33" t="str">
        <f t="shared" ref="G154:G163" si="23">SUMIFS($H$57:$H$149,$A$57:$A$149,$A154)</f>
        <v>2,618</v>
      </c>
      <c r="H154" s="34" t="str">
        <f t="shared" ref="H154:H163" si="24">C154/E154</f>
        <v>37.0%</v>
      </c>
      <c r="I154" s="8" t="s">
        <v>16</v>
      </c>
      <c r="J154" s="8" t="s">
        <v>16</v>
      </c>
      <c r="K154" s="18" t="str">
        <f t="shared" ref="K154:K163" si="25">G154/E154</f>
        <v>48.5</v>
      </c>
      <c r="L154" s="17" t="str">
        <f t="shared" ref="L154:L163" si="26">SUMIFS($J$57:$J$149,$A$57:$A$149,$A154)</f>
        <v>48</v>
      </c>
      <c r="M154" s="30" t="str">
        <f t="shared" ref="M154:M163" si="27">E154/L154</f>
        <v>1.13</v>
      </c>
      <c r="N154" s="8" t="str">
        <f t="shared" ref="N154:N163" si="28">IF(M154&gt;$B$6,"CÓ","không")</f>
        <v>không</v>
      </c>
      <c r="O154" s="18" t="str">
        <f t="shared" ref="O154:O163" si="29">AVERAGEIFS($L$57:$L$149,$A$57:$A$149,$A154)</f>
        <v>20.2</v>
      </c>
      <c r="P154" s="18" t="str">
        <f t="shared" ref="P154:P163" si="30">MAXIFS($L$57:$L$149,$A$57:$A$149,$A154)</f>
        <v>33.5</v>
      </c>
      <c r="Q154" s="17" t="str">
        <f>CONSTANTS!$F$74</f>
        <v>0</v>
      </c>
      <c r="R154" s="35" t="str">
        <f>CONSTANTS!$H$74</f>
        <v>100%</v>
      </c>
    </row>
    <row r="155" ht="14.25" customHeight="1">
      <c r="A155" s="6">
        <v>2.0</v>
      </c>
      <c r="B155" s="8" t="s">
        <v>158</v>
      </c>
      <c r="C155" s="17" t="str">
        <f>CONSTANTS!$C$75</f>
        <v>20</v>
      </c>
      <c r="D155" s="17" t="str">
        <f t="shared" si="20"/>
        <v>8</v>
      </c>
      <c r="E155" s="17" t="str">
        <f t="shared" si="21"/>
        <v>57</v>
      </c>
      <c r="F155" s="33" t="str">
        <f t="shared" si="22"/>
        <v>1,350</v>
      </c>
      <c r="G155" s="33" t="str">
        <f t="shared" si="23"/>
        <v>3,403</v>
      </c>
      <c r="H155" s="34" t="str">
        <f t="shared" si="24"/>
        <v>35.1%</v>
      </c>
      <c r="I155" s="18" t="str">
        <f t="shared" ref="I155:I163" si="31">(H155-H154)*100</f>
        <v>-1.9</v>
      </c>
      <c r="J155" s="8" t="str">
        <f t="shared" ref="J155:J163" si="32">IF(ABS(H155-H154)&gt;$B$15,"VƯỢT","ok")</f>
        <v>ok</v>
      </c>
      <c r="K155" s="18" t="str">
        <f t="shared" si="25"/>
        <v>59.7</v>
      </c>
      <c r="L155" s="17" t="str">
        <f t="shared" si="26"/>
        <v>53</v>
      </c>
      <c r="M155" s="30" t="str">
        <f t="shared" si="27"/>
        <v>1.08</v>
      </c>
      <c r="N155" s="8" t="str">
        <f t="shared" si="28"/>
        <v>không</v>
      </c>
      <c r="O155" s="18" t="str">
        <f t="shared" si="29"/>
        <v>26.2</v>
      </c>
      <c r="P155" s="18" t="str">
        <f t="shared" si="30"/>
        <v>36.6</v>
      </c>
      <c r="Q155" s="17" t="str">
        <f>CONSTANTS!$F$75</f>
        <v>0</v>
      </c>
      <c r="R155" s="35" t="str">
        <f>CONSTANTS!$H$75</f>
        <v>100%</v>
      </c>
    </row>
    <row r="156" ht="14.25" customHeight="1">
      <c r="A156" s="6">
        <v>3.0</v>
      </c>
      <c r="B156" s="8" t="s">
        <v>159</v>
      </c>
      <c r="C156" s="17" t="str">
        <f>CONSTANTS!$C$76</f>
        <v>15</v>
      </c>
      <c r="D156" s="17" t="str">
        <f t="shared" si="20"/>
        <v>10</v>
      </c>
      <c r="E156" s="17" t="str">
        <f t="shared" si="21"/>
        <v>84</v>
      </c>
      <c r="F156" s="33" t="str">
        <f t="shared" si="22"/>
        <v>1,690</v>
      </c>
      <c r="G156" s="33" t="str">
        <f t="shared" si="23"/>
        <v>3,404</v>
      </c>
      <c r="H156" s="34" t="str">
        <f t="shared" si="24"/>
        <v>17.9%</v>
      </c>
      <c r="I156" s="18" t="str">
        <f t="shared" si="31"/>
        <v>-17.2</v>
      </c>
      <c r="J156" s="8" t="str">
        <f t="shared" si="32"/>
        <v>VƯỢT</v>
      </c>
      <c r="K156" s="18" t="str">
        <f t="shared" si="25"/>
        <v>40.5</v>
      </c>
      <c r="L156" s="17" t="str">
        <f t="shared" si="26"/>
        <v>75</v>
      </c>
      <c r="M156" s="30" t="str">
        <f t="shared" si="27"/>
        <v>1.12</v>
      </c>
      <c r="N156" s="8" t="str">
        <f t="shared" si="28"/>
        <v>không</v>
      </c>
      <c r="O156" s="18" t="str">
        <f t="shared" si="29"/>
        <v>21.0</v>
      </c>
      <c r="P156" s="18" t="str">
        <f t="shared" si="30"/>
        <v>33.9</v>
      </c>
      <c r="Q156" s="17" t="str">
        <f>CONSTANTS!$F$76</f>
        <v>0</v>
      </c>
      <c r="R156" s="35" t="str">
        <f>CONSTANTS!$H$76</f>
        <v>90%</v>
      </c>
    </row>
    <row r="157" ht="14.25" customHeight="1">
      <c r="A157" s="6">
        <v>4.0</v>
      </c>
      <c r="B157" s="8" t="s">
        <v>160</v>
      </c>
      <c r="C157" s="17" t="str">
        <f>CONSTANTS!$C$77</f>
        <v>15</v>
      </c>
      <c r="D157" s="17" t="str">
        <f t="shared" si="20"/>
        <v>10</v>
      </c>
      <c r="E157" s="17" t="str">
        <f t="shared" si="21"/>
        <v>103</v>
      </c>
      <c r="F157" s="33" t="str">
        <f t="shared" si="22"/>
        <v>2,200</v>
      </c>
      <c r="G157" s="33" t="str">
        <f t="shared" si="23"/>
        <v>5,107</v>
      </c>
      <c r="H157" s="34" t="str">
        <f t="shared" si="24"/>
        <v>14.6%</v>
      </c>
      <c r="I157" s="18" t="str">
        <f t="shared" si="31"/>
        <v>-3.3</v>
      </c>
      <c r="J157" s="8" t="str">
        <f t="shared" si="32"/>
        <v>ok</v>
      </c>
      <c r="K157" s="18" t="str">
        <f t="shared" si="25"/>
        <v>49.6</v>
      </c>
      <c r="L157" s="17" t="str">
        <f t="shared" si="26"/>
        <v>72</v>
      </c>
      <c r="M157" s="30" t="str">
        <f t="shared" si="27"/>
        <v>1.43</v>
      </c>
      <c r="N157" s="8" t="str">
        <f t="shared" si="28"/>
        <v>không</v>
      </c>
      <c r="O157" s="18" t="str">
        <f t="shared" si="29"/>
        <v>31.5</v>
      </c>
      <c r="P157" s="18" t="str">
        <f t="shared" si="30"/>
        <v>58.1</v>
      </c>
      <c r="Q157" s="17" t="str">
        <f>CONSTANTS!$F$77</f>
        <v>0</v>
      </c>
      <c r="R157" s="35" t="str">
        <f>CONSTANTS!$H$77</f>
        <v>85%</v>
      </c>
    </row>
    <row r="158" ht="14.25" customHeight="1">
      <c r="A158" s="6">
        <v>5.0</v>
      </c>
      <c r="B158" s="8" t="s">
        <v>161</v>
      </c>
      <c r="C158" s="17" t="str">
        <f>CONSTANTS!$C$78</f>
        <v>10</v>
      </c>
      <c r="D158" s="17" t="str">
        <f t="shared" si="20"/>
        <v>10</v>
      </c>
      <c r="E158" s="17" t="str">
        <f t="shared" si="21"/>
        <v>99</v>
      </c>
      <c r="F158" s="33" t="str">
        <f t="shared" si="22"/>
        <v>2,210</v>
      </c>
      <c r="G158" s="33" t="str">
        <f t="shared" si="23"/>
        <v>4,728</v>
      </c>
      <c r="H158" s="34" t="str">
        <f t="shared" si="24"/>
        <v>10.1%</v>
      </c>
      <c r="I158" s="18" t="str">
        <f t="shared" si="31"/>
        <v>-4.5</v>
      </c>
      <c r="J158" s="8" t="str">
        <f t="shared" si="32"/>
        <v>ok</v>
      </c>
      <c r="K158" s="18" t="str">
        <f t="shared" si="25"/>
        <v>47.8</v>
      </c>
      <c r="L158" s="17" t="str">
        <f t="shared" si="26"/>
        <v>55</v>
      </c>
      <c r="M158" s="30" t="str">
        <f t="shared" si="27"/>
        <v>1.80</v>
      </c>
      <c r="N158" s="8" t="str">
        <f t="shared" si="28"/>
        <v>CÓ</v>
      </c>
      <c r="O158" s="18" t="str">
        <f t="shared" si="29"/>
        <v>29.1</v>
      </c>
      <c r="P158" s="18" t="str">
        <f t="shared" si="30"/>
        <v>80.9</v>
      </c>
      <c r="Q158" s="17" t="str">
        <f>CONSTANTS!$F$78</f>
        <v>0</v>
      </c>
      <c r="R158" s="35" t="str">
        <f>CONSTANTS!$H$78</f>
        <v>75%</v>
      </c>
    </row>
    <row r="159" ht="14.25" customHeight="1">
      <c r="A159" s="6">
        <v>6.0</v>
      </c>
      <c r="B159" s="8" t="s">
        <v>162</v>
      </c>
      <c r="C159" s="17" t="str">
        <f>CONSTANTS!$C$79</f>
        <v>10</v>
      </c>
      <c r="D159" s="17" t="str">
        <f t="shared" si="20"/>
        <v>10</v>
      </c>
      <c r="E159" s="17" t="str">
        <f t="shared" si="21"/>
        <v>110</v>
      </c>
      <c r="F159" s="33" t="str">
        <f t="shared" si="22"/>
        <v>2,510</v>
      </c>
      <c r="G159" s="33" t="str">
        <f t="shared" si="23"/>
        <v>5,828</v>
      </c>
      <c r="H159" s="34" t="str">
        <f t="shared" si="24"/>
        <v>9.1%</v>
      </c>
      <c r="I159" s="18" t="str">
        <f t="shared" si="31"/>
        <v>-1.0</v>
      </c>
      <c r="J159" s="8" t="str">
        <f t="shared" si="32"/>
        <v>ok</v>
      </c>
      <c r="K159" s="18" t="str">
        <f t="shared" si="25"/>
        <v>53.0</v>
      </c>
      <c r="L159" s="17" t="str">
        <f t="shared" si="26"/>
        <v>62</v>
      </c>
      <c r="M159" s="30" t="str">
        <f t="shared" si="27"/>
        <v>1.77</v>
      </c>
      <c r="N159" s="8" t="str">
        <f t="shared" si="28"/>
        <v>CÓ</v>
      </c>
      <c r="O159" s="18" t="str">
        <f t="shared" si="29"/>
        <v>35.9</v>
      </c>
      <c r="P159" s="18" t="str">
        <f t="shared" si="30"/>
        <v>89.4</v>
      </c>
      <c r="Q159" s="17" t="str">
        <f>CONSTANTS!$F$79</f>
        <v>0</v>
      </c>
      <c r="R159" s="35" t="str">
        <f>CONSTANTS!$H$79</f>
        <v>70%</v>
      </c>
    </row>
    <row r="160" ht="14.25" customHeight="1">
      <c r="A160" s="6">
        <v>7.0</v>
      </c>
      <c r="B160" s="8" t="s">
        <v>163</v>
      </c>
      <c r="C160" s="17" t="str">
        <f>CONSTANTS!$C$80</f>
        <v>10</v>
      </c>
      <c r="D160" s="17" t="str">
        <f t="shared" si="20"/>
        <v>10</v>
      </c>
      <c r="E160" s="17" t="str">
        <f t="shared" si="21"/>
        <v>124</v>
      </c>
      <c r="F160" s="33" t="str">
        <f t="shared" si="22"/>
        <v>2,960</v>
      </c>
      <c r="G160" s="33" t="str">
        <f t="shared" si="23"/>
        <v>7,246</v>
      </c>
      <c r="H160" s="34" t="str">
        <f t="shared" si="24"/>
        <v>8.1%</v>
      </c>
      <c r="I160" s="18" t="str">
        <f t="shared" si="31"/>
        <v>-1.0</v>
      </c>
      <c r="J160" s="8" t="str">
        <f t="shared" si="32"/>
        <v>ok</v>
      </c>
      <c r="K160" s="18" t="str">
        <f t="shared" si="25"/>
        <v>58.4</v>
      </c>
      <c r="L160" s="17" t="str">
        <f t="shared" si="26"/>
        <v>57</v>
      </c>
      <c r="M160" s="30" t="str">
        <f t="shared" si="27"/>
        <v>2.18</v>
      </c>
      <c r="N160" s="8" t="str">
        <f t="shared" si="28"/>
        <v>CÓ</v>
      </c>
      <c r="O160" s="18" t="str">
        <f t="shared" si="29"/>
        <v>44.6</v>
      </c>
      <c r="P160" s="18" t="str">
        <f t="shared" si="30"/>
        <v>100.0</v>
      </c>
      <c r="Q160" s="17" t="str">
        <f>CONSTANTS!$F$80</f>
        <v>0</v>
      </c>
      <c r="R160" s="35" t="str">
        <f>CONSTANTS!$H$80</f>
        <v>65%</v>
      </c>
    </row>
    <row r="161" ht="14.25" customHeight="1">
      <c r="A161" s="6">
        <v>8.0</v>
      </c>
      <c r="B161" s="8" t="s">
        <v>164</v>
      </c>
      <c r="C161" s="17" t="str">
        <f>CONSTANTS!$C$81</f>
        <v>10</v>
      </c>
      <c r="D161" s="17" t="str">
        <f t="shared" si="20"/>
        <v>10</v>
      </c>
      <c r="E161" s="17" t="str">
        <f t="shared" si="21"/>
        <v>134</v>
      </c>
      <c r="F161" s="33" t="str">
        <f t="shared" si="22"/>
        <v>3,010</v>
      </c>
      <c r="G161" s="33" t="str">
        <f t="shared" si="23"/>
        <v>8,584</v>
      </c>
      <c r="H161" s="34" t="str">
        <f t="shared" si="24"/>
        <v>7.5%</v>
      </c>
      <c r="I161" s="18" t="str">
        <f t="shared" si="31"/>
        <v>-0.6</v>
      </c>
      <c r="J161" s="8" t="str">
        <f t="shared" si="32"/>
        <v>ok</v>
      </c>
      <c r="K161" s="18" t="str">
        <f t="shared" si="25"/>
        <v>64.1</v>
      </c>
      <c r="L161" s="17" t="str">
        <f t="shared" si="26"/>
        <v>76</v>
      </c>
      <c r="M161" s="30" t="str">
        <f t="shared" si="27"/>
        <v>1.76</v>
      </c>
      <c r="N161" s="8" t="str">
        <f t="shared" si="28"/>
        <v>CÓ</v>
      </c>
      <c r="O161" s="18" t="str">
        <f t="shared" si="29"/>
        <v>52.9</v>
      </c>
      <c r="P161" s="18" t="str">
        <f t="shared" si="30"/>
        <v>84.5</v>
      </c>
      <c r="Q161" s="17" t="str">
        <f>CONSTANTS!$F$81</f>
        <v>0</v>
      </c>
      <c r="R161" s="35" t="str">
        <f>CONSTANTS!$H$81</f>
        <v>55%</v>
      </c>
    </row>
    <row r="162" ht="14.25" customHeight="1">
      <c r="A162" s="6">
        <v>9.0</v>
      </c>
      <c r="B162" s="8" t="s">
        <v>165</v>
      </c>
      <c r="C162" s="17" t="str">
        <f>CONSTANTS!$C$82</f>
        <v>10</v>
      </c>
      <c r="D162" s="17" t="str">
        <f t="shared" si="20"/>
        <v>7</v>
      </c>
      <c r="E162" s="17" t="str">
        <f t="shared" si="21"/>
        <v>92</v>
      </c>
      <c r="F162" s="33" t="str">
        <f t="shared" si="22"/>
        <v>2,020</v>
      </c>
      <c r="G162" s="33" t="str">
        <f t="shared" si="23"/>
        <v>4,480</v>
      </c>
      <c r="H162" s="34" t="str">
        <f t="shared" si="24"/>
        <v>10.9%</v>
      </c>
      <c r="I162" s="18" t="str">
        <f t="shared" si="31"/>
        <v>3.4</v>
      </c>
      <c r="J162" s="8" t="str">
        <f t="shared" si="32"/>
        <v>ok</v>
      </c>
      <c r="K162" s="18" t="str">
        <f t="shared" si="25"/>
        <v>48.7</v>
      </c>
      <c r="L162" s="17" t="str">
        <f t="shared" si="26"/>
        <v>52</v>
      </c>
      <c r="M162" s="30" t="str">
        <f t="shared" si="27"/>
        <v>1.77</v>
      </c>
      <c r="N162" s="8" t="str">
        <f t="shared" si="28"/>
        <v>CÓ</v>
      </c>
      <c r="O162" s="18" t="str">
        <f t="shared" si="29"/>
        <v>39.4</v>
      </c>
      <c r="P162" s="18" t="str">
        <f t="shared" si="30"/>
        <v>76.5</v>
      </c>
      <c r="Q162" s="17" t="str">
        <f>CONSTANTS!$F$82</f>
        <v>1</v>
      </c>
      <c r="R162" s="35" t="str">
        <f>CONSTANTS!$H$82</f>
        <v>80%</v>
      </c>
    </row>
    <row r="163" ht="14.25" customHeight="1">
      <c r="A163" s="6">
        <v>10.0</v>
      </c>
      <c r="B163" s="8" t="s">
        <v>166</v>
      </c>
      <c r="C163" s="17" t="str">
        <f>CONSTANTS!$C$83</f>
        <v>10</v>
      </c>
      <c r="D163" s="17" t="str">
        <f t="shared" si="20"/>
        <v>10</v>
      </c>
      <c r="E163" s="17" t="str">
        <f t="shared" si="21"/>
        <v>137</v>
      </c>
      <c r="F163" s="33" t="str">
        <f t="shared" si="22"/>
        <v>3,870</v>
      </c>
      <c r="G163" s="33" t="str">
        <f t="shared" si="23"/>
        <v>8,931</v>
      </c>
      <c r="H163" s="34" t="str">
        <f t="shared" si="24"/>
        <v>7.3%</v>
      </c>
      <c r="I163" s="18" t="str">
        <f t="shared" si="31"/>
        <v>-3.6</v>
      </c>
      <c r="J163" s="8" t="str">
        <f t="shared" si="32"/>
        <v>ok</v>
      </c>
      <c r="K163" s="18" t="str">
        <f t="shared" si="25"/>
        <v>65.2</v>
      </c>
      <c r="L163" s="17" t="str">
        <f t="shared" si="26"/>
        <v>73</v>
      </c>
      <c r="M163" s="30" t="str">
        <f t="shared" si="27"/>
        <v>1.88</v>
      </c>
      <c r="N163" s="8" t="str">
        <f t="shared" si="28"/>
        <v>CÓ</v>
      </c>
      <c r="O163" s="18" t="str">
        <f t="shared" si="29"/>
        <v>55.0</v>
      </c>
      <c r="P163" s="18" t="str">
        <f t="shared" si="30"/>
        <v>98.8</v>
      </c>
      <c r="Q163" s="17" t="str">
        <f>CONSTANTS!$F$83</f>
        <v>0</v>
      </c>
      <c r="R163" s="35" t="str">
        <f>CONSTANTS!$H$83</f>
        <v>40%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52.0"/>
    <col customWidth="1" min="3" max="3" width="16.0"/>
    <col customWidth="1" min="4" max="4" width="34.0"/>
    <col customWidth="1" min="5" max="5" width="26.0"/>
    <col customWidth="1" min="6" max="6" width="20.0"/>
    <col customWidth="1" min="7" max="26" width="8.57"/>
  </cols>
  <sheetData>
    <row r="1" ht="14.25" customHeight="1">
      <c r="A1" s="1" t="s">
        <v>292</v>
      </c>
    </row>
    <row r="2" ht="14.25" customHeight="1">
      <c r="A2" s="2" t="s">
        <v>293</v>
      </c>
    </row>
    <row r="3" ht="14.25" customHeight="1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ht="14.25" customHeight="1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ht="14.25" customHeight="1">
      <c r="A5" s="39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ht="33.75" customHeight="1">
      <c r="A6" s="40"/>
      <c r="B6" s="40"/>
      <c r="C6" s="40"/>
      <c r="D6" s="40"/>
      <c r="E6" s="40"/>
      <c r="F6" s="40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ht="14.25" customHeight="1">
      <c r="A7" s="41"/>
      <c r="B7" s="42"/>
      <c r="C7" s="41"/>
      <c r="D7" s="41"/>
      <c r="E7" s="43"/>
      <c r="F7" s="41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ht="14.25" customHeight="1">
      <c r="A8" s="41"/>
      <c r="B8" s="42"/>
      <c r="C8" s="41"/>
      <c r="D8" s="41"/>
      <c r="E8" s="43"/>
      <c r="F8" s="41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4.25" customHeight="1">
      <c r="A9" s="41"/>
      <c r="B9" s="42"/>
      <c r="C9" s="41"/>
      <c r="D9" s="41"/>
      <c r="E9" s="43"/>
      <c r="F9" s="41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ht="14.25" customHeight="1">
      <c r="A10" s="41"/>
      <c r="B10" s="42"/>
      <c r="C10" s="41"/>
      <c r="D10" s="41"/>
      <c r="E10" s="43"/>
      <c r="F10" s="41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ht="14.25" customHeight="1">
      <c r="A11" s="41"/>
      <c r="B11" s="42"/>
      <c r="C11" s="41"/>
      <c r="D11" s="41"/>
      <c r="E11" s="43"/>
      <c r="F11" s="41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ht="14.25" customHeight="1">
      <c r="A12" s="41"/>
      <c r="B12" s="42"/>
      <c r="C12" s="41"/>
      <c r="D12" s="41"/>
      <c r="E12" s="43"/>
      <c r="F12" s="41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ht="14.25" customHeight="1">
      <c r="A13" s="41"/>
      <c r="B13" s="42"/>
      <c r="C13" s="41"/>
      <c r="D13" s="41"/>
      <c r="E13" s="43"/>
      <c r="F13" s="41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ht="14.25" customHeight="1">
      <c r="A14" s="41"/>
      <c r="B14" s="42"/>
      <c r="C14" s="41"/>
      <c r="D14" s="41"/>
      <c r="E14" s="43"/>
      <c r="F14" s="41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ht="14.25" customHeight="1">
      <c r="A15" s="41"/>
      <c r="B15" s="42"/>
      <c r="C15" s="41"/>
      <c r="D15" s="41"/>
      <c r="E15" s="43"/>
      <c r="F15" s="41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ht="14.25" customHeight="1"/>
    <row r="17" ht="14.25" customHeight="1">
      <c r="A17" s="3" t="s">
        <v>294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3.75" customHeight="1">
      <c r="A18" s="5" t="s">
        <v>149</v>
      </c>
      <c r="B18" s="5" t="s">
        <v>295</v>
      </c>
      <c r="C18" s="5" t="s">
        <v>296</v>
      </c>
      <c r="D18" s="5" t="s">
        <v>297</v>
      </c>
      <c r="E18" s="5" t="s">
        <v>298</v>
      </c>
    </row>
    <row r="19" ht="14.25" customHeight="1">
      <c r="A19" s="6">
        <v>1.0</v>
      </c>
      <c r="B19" s="6" t="s">
        <v>299</v>
      </c>
      <c r="C19" s="17" t="str">
        <f>SUMPRODUCT(--(MOD(CONSTANTS!$C$57:$C$63,CALC!$D$25)&lt;&gt;0))+SUMPRODUCT(--(MOD(CONSTANTS!$C$57:$C$63,CONSTANTS!$L$25)&lt;&gt;0))</f>
        <v>0</v>
      </c>
      <c r="D19" s="9" t="s">
        <v>300</v>
      </c>
      <c r="E19" s="44" t="str">
        <f>IF(C19&lt;=0,"ĐẠT","KHÔNG ĐẠT")</f>
        <v>ĐẠT</v>
      </c>
    </row>
    <row r="20" ht="14.25" customHeight="1">
      <c r="A20" s="6">
        <v>2.0</v>
      </c>
      <c r="B20" s="6" t="s">
        <v>301</v>
      </c>
      <c r="C20" s="17" t="str">
        <f>COUNTIFS(CONSTANTS!$G$25:$G$27,"&lt;="&amp;CONSTANTS!$G$24)</f>
        <v>1</v>
      </c>
      <c r="D20" s="9" t="s">
        <v>302</v>
      </c>
      <c r="E20" s="44" t="str">
        <f>IF(C20=1,"ĐẠT","KHÔNG ĐẠT")</f>
        <v>ĐẠT</v>
      </c>
    </row>
    <row r="21" ht="14.25" customHeight="1">
      <c r="A21" s="6">
        <v>3.0</v>
      </c>
      <c r="B21" s="6" t="s">
        <v>303</v>
      </c>
      <c r="C21" s="29" t="str">
        <f>1-CALC!$G$26/CALC!$B$6</f>
        <v>23.5%</v>
      </c>
      <c r="D21" s="9" t="s">
        <v>304</v>
      </c>
      <c r="E21" s="44" t="str">
        <f t="shared" ref="E21:E22" si="1">IF(C21&gt;0,"ĐẠT","KHÔNG ĐẠT")</f>
        <v>ĐẠT</v>
      </c>
    </row>
    <row r="22" ht="14.25" customHeight="1">
      <c r="A22" s="6">
        <v>4.0</v>
      </c>
      <c r="B22" s="6" t="s">
        <v>305</v>
      </c>
      <c r="C22" s="28" t="str">
        <f>2*CALC!$G$26-CALC!$B$8</f>
        <v>0.131</v>
      </c>
      <c r="D22" s="9" t="s">
        <v>306</v>
      </c>
      <c r="E22" s="44" t="str">
        <f t="shared" si="1"/>
        <v>ĐẠT</v>
      </c>
    </row>
    <row r="23" ht="14.25" customHeight="1">
      <c r="A23" s="6">
        <v>5.0</v>
      </c>
      <c r="B23" s="6" t="s">
        <v>307</v>
      </c>
      <c r="C23" s="18" t="str">
        <f>CALC!$H$26-CALC!$H$26</f>
        <v>0.0</v>
      </c>
      <c r="D23" s="9" t="s">
        <v>308</v>
      </c>
      <c r="E23" s="44" t="str">
        <f>IF(C23=0,"ĐẠT","KHÔNG ĐẠT")</f>
        <v>ĐẠT</v>
      </c>
    </row>
    <row r="24" ht="14.25" customHeight="1">
      <c r="A24" s="6">
        <v>6.0</v>
      </c>
      <c r="B24" s="6" t="s">
        <v>309</v>
      </c>
      <c r="C24" s="17" t="str">
        <f>SUMPRODUCT((CALC!$Q$155:$Q$163=0)*(CALC!$H$155:$H$163&gt;CALC!$H$154:$H$162))</f>
        <v>0</v>
      </c>
      <c r="D24" s="9" t="s">
        <v>310</v>
      </c>
      <c r="E24" s="44" t="str">
        <f>IF(C24&lt;=0,"ĐẠT","KHÔNG ĐẠT")</f>
        <v>ĐẠT</v>
      </c>
    </row>
    <row r="25" ht="14.25" customHeight="1">
      <c r="A25" s="6">
        <v>7.0</v>
      </c>
      <c r="B25" s="6" t="s">
        <v>311</v>
      </c>
      <c r="C25" s="17" t="str">
        <f>SUMPRODUCT((CALC!$Q$155:$Q$163=0)*(ABS(CALC!$H$155:$H$163-CALC!$H$154:$H$162)&gt;CALC!$B$15))</f>
        <v>1</v>
      </c>
      <c r="D25" s="9" t="s">
        <v>312</v>
      </c>
      <c r="E25" s="44" t="str">
        <f>IF(C25&lt;=1,"ĐẠT","KHÔNG ĐẠT")</f>
        <v>ĐẠT</v>
      </c>
      <c r="F25" t="s">
        <v>313</v>
      </c>
    </row>
    <row r="26" ht="14.25" customHeight="1">
      <c r="A26" s="6">
        <v>8.0</v>
      </c>
      <c r="B26" s="6" t="s">
        <v>314</v>
      </c>
      <c r="C26" s="29" t="str">
        <f>CALC!$H$162-CALC!$H$161</f>
        <v>3.4%</v>
      </c>
      <c r="D26" s="9" t="s">
        <v>315</v>
      </c>
      <c r="E26" s="44" t="str">
        <f>IF(C26&gt;0,"ĐẠT","KHÔNG ĐẠT")</f>
        <v>ĐẠT</v>
      </c>
    </row>
    <row r="27" ht="14.25" customHeight="1">
      <c r="A27" s="6">
        <v>9.0</v>
      </c>
      <c r="B27" s="6" t="s">
        <v>316</v>
      </c>
      <c r="C27" s="29" t="str">
        <f>CALC!$H$163</f>
        <v>7.3%</v>
      </c>
      <c r="D27" s="29" t="str">
        <f>CONSTANTS!$B$9</f>
        <v>7.5%</v>
      </c>
      <c r="E27" s="44" t="str">
        <f>IF(C27&lt;=D27+0.001,"ĐẠT","KHÔNG ĐẠT")</f>
        <v>ĐẠT</v>
      </c>
    </row>
    <row r="28" ht="14.25" customHeight="1">
      <c r="A28" s="6">
        <v>10.0</v>
      </c>
      <c r="B28" s="6" t="s">
        <v>317</v>
      </c>
      <c r="C28" s="17" t="str">
        <f>COUNTIF(ECONOMY!$I$18:$I$27,"&gt;=1")</f>
        <v>0</v>
      </c>
      <c r="D28" s="9" t="s">
        <v>318</v>
      </c>
      <c r="E28" s="44" t="str">
        <f>IF(C28&lt;=0,"ĐẠT","KHÔNG ĐẠT — "&amp;C28&amp;" màn dư tiền, nâng cấp hết chỗ tiêu")</f>
        <v>ĐẠT</v>
      </c>
    </row>
    <row r="29" ht="14.25" customHeight="1">
      <c r="A29" s="6">
        <v>11.0</v>
      </c>
      <c r="B29" s="6" t="s">
        <v>319</v>
      </c>
      <c r="C29" s="17" t="str">
        <f>COUNTIF(ECONOMY!$C$47:$L$47,1)</f>
        <v>10</v>
      </c>
      <c r="D29" s="9" t="s">
        <v>320</v>
      </c>
      <c r="E29" s="44" t="str">
        <f>IF(C29=10,"ĐẠT","KHÔNG ĐẠT")</f>
        <v>ĐẠT</v>
      </c>
    </row>
    <row r="30" ht="14.25" customHeight="1">
      <c r="A30" s="6">
        <v>12.0</v>
      </c>
      <c r="B30" s="6" t="s">
        <v>321</v>
      </c>
      <c r="C30" s="17" t="str">
        <f>CONSTANTS!$D$74-CALC!$B$17</f>
        <v>20</v>
      </c>
      <c r="D30" s="9" t="s">
        <v>322</v>
      </c>
      <c r="E30" s="44" t="str">
        <f>IF(AND(C30&gt;=0,C30&lt;100),"ĐẠT","KHÔNG ĐẠT")</f>
        <v>ĐẠT</v>
      </c>
    </row>
    <row r="31" ht="14.25" customHeight="1">
      <c r="A31" s="6">
        <v>13.0</v>
      </c>
      <c r="B31" s="6" t="s">
        <v>323</v>
      </c>
      <c r="C31" s="17" t="str">
        <f>COUNTIF(CALC!$N$158:$N$163,"CÓ")</f>
        <v>6</v>
      </c>
      <c r="D31" s="9" t="s">
        <v>324</v>
      </c>
      <c r="E31" s="44" t="str">
        <f>IF(C31&gt;=5,"ĐẠT","KHÔNG ĐẠT")</f>
        <v>ĐẠT</v>
      </c>
    </row>
    <row r="32" ht="14.25" customHeight="1">
      <c r="A32" s="6">
        <v>14.0</v>
      </c>
      <c r="B32" s="6" t="s">
        <v>325</v>
      </c>
      <c r="C32" s="17" t="str">
        <f>COUNTIF(MATRIX!$L$47:$L$52,"KHỚP")</f>
        <v>0</v>
      </c>
      <c r="D32" s="9" t="s">
        <v>326</v>
      </c>
      <c r="E32" s="44" t="str">
        <f>IF(C32&gt;=4,"ĐẠT","KHÔNG ĐẠT — "&amp;(4-C32)&amp;" hàng lệch, xem MATRIX khối 6")</f>
        <v>KHÔNG ĐẠT — 4 hàng lệch, xem MATRIX khối 6</v>
      </c>
    </row>
    <row r="33" ht="14.25" customHeight="1">
      <c r="A33" s="6">
        <v>15.0</v>
      </c>
      <c r="B33" s="6" t="s">
        <v>327</v>
      </c>
      <c r="C33" s="17" t="str">
        <f>IF(COUNTIF(MATRIX!$B$7:$B$12,"✔✔")&gt;0,1,0)+IF(COUNTIF(MATRIX!$C$7:$C$12,"✔✔")&gt;0,1,0)+IF(COUNTIF(MATRIX!$D$7:$D$12,"✔✔")&gt;0,1,0)+IF(COUNTIF(MATRIX!$E$7:$E$12,"✔✔")&gt;0,1,0)+IF(COUNTIF(MATRIX!$F$7:$F$12,"✔✔")&gt;0,1,0)</f>
        <v>5</v>
      </c>
      <c r="D33" s="9" t="s">
        <v>328</v>
      </c>
      <c r="E33" s="44" t="str">
        <f>IF(C33&gt;=5,"ĐẠT","KHÔNG ĐẠT — có loại quái không trụ nào là chủ lực")</f>
        <v>ĐẠT</v>
      </c>
    </row>
    <row r="34" ht="14.25" customHeight="1">
      <c r="A34" s="6">
        <v>16.0</v>
      </c>
      <c r="B34" s="6" t="s">
        <v>329</v>
      </c>
      <c r="C34" s="29" t="str">
        <f>CALC!$F$52-CALC!$F$49</f>
        <v>38.1%</v>
      </c>
      <c r="D34" s="9" t="s">
        <v>330</v>
      </c>
      <c r="E34" s="44" t="str">
        <f>IF(C34&gt;0,"ĐẠT","KHÔNG ĐẠT — tiền THỦY không mua được gì đo được")</f>
        <v>ĐẠT</v>
      </c>
    </row>
    <row r="35" ht="14.25" customHeight="1">
      <c r="A35" s="6">
        <v>17.0</v>
      </c>
      <c r="B35" s="6" t="s">
        <v>331</v>
      </c>
      <c r="C35" s="17" t="str">
        <f>IF(SUMIFS(CONSTANTS!$C$34:$C$42,CONSTANTS!$A$34:$A$42,"HỎA",CONSTANTS!$B$34:$B$42,2)&lt;SUMIFS(CONSTANTS!$C$34:$C$42,CONSTANTS!$A$34:$A$42,"HỎA",CONSTANTS!$B$34:$B$42,1),1,0)+IF(SUMIFS(CONSTANTS!$C$34:$C$42,CONSTANTS!$A$34:$A$42,"HỎA",CONSTANTS!$B$34:$B$42,3)&lt;SUMIFS(CONSTANTS!$C$34:$C$42,CONSTANTS!$A$34:$A$42,"HỎA",CONSTANTS!$B$34:$B$42,2),1,0)+IF(SUMIFS(CONSTANTS!$C$34:$C$42,CONSTANTS!$A$34:$A$42,"THỦY",CONSTANTS!$B$34:$B$42,2)&lt;SUMIFS(CONSTANTS!$C$34:$C$42,CONSTANTS!$A$34:$A$42,"THỦY",CONSTANTS!$B$34:$B$42,1),1,0)+IF(SUMIFS(CONSTANTS!$C$34:$C$42,CONSTANTS!$A$34:$A$42,"THỦY",CONSTANTS!$B$34:$B$42,3)&lt;SUMIFS(CONSTANTS!$C$34:$C$42,CONSTANTS!$A$34:$A$42,"THỦY",CONSTANTS!$B$34:$B$42,2),1,0)+IF(SUMIFS(CONSTANTS!$C$34:$C$42,CONSTANTS!$A$34:$A$42,"PHONG",CONSTANTS!$B$34:$B$42,2)&lt;SUMIFS(CONSTANTS!$C$34:$C$42,CONSTANTS!$A$34:$A$42,"PHONG",CONSTANTS!$B$34:$B$42,1),1,0)+IF(SUMIFS(CONSTANTS!$C$34:$C$42,CONSTANTS!$A$34:$A$42,"PHONG",CONSTANTS!$B$34:$B$42,3)&lt;SUMIFS(CONSTANTS!$C$34:$C$42,CONSTANTS!$A$34:$A$42,"PHONG",CONSTANTS!$B$34:$B$42,2),1,0)</f>
        <v>0</v>
      </c>
      <c r="D35" s="9" t="s">
        <v>332</v>
      </c>
      <c r="E35" s="44" t="str">
        <f>IF(C35&lt;=0,"ĐẠT","KHÔNG ĐẠT — "&amp;C35&amp;" chỗ không đơn điệu")</f>
        <v>ĐẠT</v>
      </c>
    </row>
    <row r="36" ht="14.25" customHeight="1">
      <c r="A36" s="6">
        <v>18.0</v>
      </c>
      <c r="B36" s="6" t="s">
        <v>333</v>
      </c>
      <c r="C36" s="17" t="str">
        <f>CONSTANTS!$B$10</f>
        <v>0</v>
      </c>
      <c r="D36" s="9" t="s">
        <v>334</v>
      </c>
      <c r="E36" s="44" t="str">
        <f>IF(C36&gt;0,"ĐẠT","KHÔNG ĐẠT — Instances = 0, DPS không có trần")</f>
        <v>KHÔNG ĐẠT — Instances = 0, DPS không có trần</v>
      </c>
    </row>
    <row r="37" ht="14.25" customHeight="1">
      <c r="A37" s="6">
        <v>19.0</v>
      </c>
      <c r="B37" s="6" t="s">
        <v>335</v>
      </c>
      <c r="C37" s="17" t="str">
        <f>INT((MAX(ECONOMY!$F$18:$F$27)-CONSTANTS!$I$24)/MIN(CONSTANTS!$I$25,CONSTANTS!$I$26,CONSTANTS!$I$27))+1</f>
        <v>17</v>
      </c>
      <c r="D37" s="9" t="s">
        <v>336</v>
      </c>
      <c r="E37" s="44" t="str">
        <f>"tham chiếu"</f>
        <v>tham chiếu</v>
      </c>
    </row>
    <row r="38" ht="14.25" customHeight="1"/>
    <row r="39" ht="14.25" customHeight="1">
      <c r="A39" s="6" t="s">
        <v>337</v>
      </c>
      <c r="C39" s="45" t="str">
        <f>COUNTIF($E$19:$E$37,"ĐẠT")</f>
        <v>16</v>
      </c>
      <c r="D39" s="9" t="s">
        <v>338</v>
      </c>
      <c r="E39" s="45" t="str">
        <f>19</f>
        <v>19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9.0"/>
    <col customWidth="1" min="3" max="14" width="15.0"/>
    <col customWidth="1" min="15" max="29" width="8.57"/>
  </cols>
  <sheetData>
    <row r="1" ht="14.25" customHeight="1">
      <c r="A1" s="1" t="s">
        <v>339</v>
      </c>
    </row>
    <row r="2" ht="14.25" customHeight="1">
      <c r="A2" s="2"/>
    </row>
    <row r="3" ht="14.25" customHeight="1"/>
    <row r="4" ht="14.25" customHeight="1">
      <c r="A4" s="3" t="s">
        <v>340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ht="14.25" customHeight="1">
      <c r="A5" s="2" t="s">
        <v>341</v>
      </c>
    </row>
    <row r="6" ht="33.75" customHeight="1">
      <c r="A6" s="5" t="s">
        <v>342</v>
      </c>
      <c r="B6" s="5" t="s">
        <v>114</v>
      </c>
      <c r="C6" s="5" t="s">
        <v>343</v>
      </c>
      <c r="D6" s="5" t="s">
        <v>118</v>
      </c>
      <c r="E6" s="5" t="s">
        <v>121</v>
      </c>
      <c r="F6" s="5" t="s">
        <v>124</v>
      </c>
    </row>
    <row r="7" ht="14.25" customHeight="1">
      <c r="A7" s="6" t="s">
        <v>344</v>
      </c>
      <c r="B7" s="46" t="s">
        <v>345</v>
      </c>
      <c r="C7" s="46" t="s">
        <v>345</v>
      </c>
      <c r="D7" s="46" t="s">
        <v>346</v>
      </c>
      <c r="E7" s="46" t="s">
        <v>346</v>
      </c>
      <c r="F7" s="46" t="s">
        <v>345</v>
      </c>
    </row>
    <row r="8" ht="14.25" customHeight="1">
      <c r="A8" s="6" t="s">
        <v>76</v>
      </c>
      <c r="B8" s="46" t="s">
        <v>347</v>
      </c>
      <c r="C8" s="46" t="s">
        <v>347</v>
      </c>
      <c r="D8" s="46" t="s">
        <v>346</v>
      </c>
      <c r="E8" s="46" t="s">
        <v>346</v>
      </c>
      <c r="F8" s="46" t="s">
        <v>347</v>
      </c>
    </row>
    <row r="9" ht="14.25" customHeight="1">
      <c r="A9" s="6" t="s">
        <v>82</v>
      </c>
      <c r="B9" s="46" t="s">
        <v>345</v>
      </c>
      <c r="C9" s="46" t="s">
        <v>345</v>
      </c>
      <c r="D9" s="46" t="s">
        <v>345</v>
      </c>
      <c r="E9" s="46" t="s">
        <v>346</v>
      </c>
      <c r="F9" s="46" t="s">
        <v>347</v>
      </c>
    </row>
    <row r="10" ht="14.25" customHeight="1">
      <c r="A10" s="6" t="s">
        <v>348</v>
      </c>
      <c r="B10" s="46"/>
      <c r="C10" s="46"/>
      <c r="D10" s="46"/>
      <c r="E10" s="46"/>
      <c r="F10" s="46"/>
    </row>
    <row r="11" ht="14.25" customHeight="1">
      <c r="A11" s="6" t="s">
        <v>80</v>
      </c>
      <c r="B11" s="46" t="s">
        <v>345</v>
      </c>
      <c r="C11" s="46" t="s">
        <v>345</v>
      </c>
      <c r="D11" s="46" t="s">
        <v>347</v>
      </c>
      <c r="E11" s="46" t="s">
        <v>347</v>
      </c>
      <c r="F11" s="46" t="s">
        <v>345</v>
      </c>
    </row>
    <row r="12" ht="14.25" customHeight="1">
      <c r="A12" s="6" t="s">
        <v>193</v>
      </c>
      <c r="B12" s="46" t="s">
        <v>345</v>
      </c>
      <c r="C12" s="46" t="s">
        <v>345</v>
      </c>
      <c r="D12" s="46" t="s">
        <v>346</v>
      </c>
      <c r="E12" s="46" t="s">
        <v>346</v>
      </c>
      <c r="F12" s="46" t="s">
        <v>345</v>
      </c>
    </row>
    <row r="13" ht="14.25" customHeight="1"/>
    <row r="14" ht="14.25" customHeight="1">
      <c r="A14" s="3" t="s">
        <v>349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ht="14.25" customHeight="1">
      <c r="A15" s="2" t="s">
        <v>350</v>
      </c>
    </row>
    <row r="16" ht="33.75" customHeight="1">
      <c r="A16" s="5" t="s">
        <v>342</v>
      </c>
      <c r="B16" s="5" t="s">
        <v>234</v>
      </c>
      <c r="C16" s="5" t="s">
        <v>114</v>
      </c>
      <c r="D16" s="5" t="s">
        <v>343</v>
      </c>
      <c r="E16" s="5" t="s">
        <v>118</v>
      </c>
      <c r="F16" s="5" t="s">
        <v>121</v>
      </c>
      <c r="G16" s="5" t="s">
        <v>124</v>
      </c>
    </row>
    <row r="17" ht="14.25" customHeight="1">
      <c r="A17" s="6" t="s">
        <v>344</v>
      </c>
      <c r="B17" s="18" t="str">
        <f>CALC!$D$25</f>
        <v>5.0</v>
      </c>
      <c r="C17" s="17" t="str">
        <f>IF($B17=0,"∞",ROUNDUP(CALC!$B$36/$B17,0))</f>
        <v>4</v>
      </c>
      <c r="D17" s="17" t="str">
        <f>IF($B17=0,"∞",ROUNDUP(CALC!$B$37/$B17,0))</f>
        <v>6</v>
      </c>
      <c r="E17" s="17" t="str">
        <f>IF($B17=0,"∞",ROUNDUP(CALC!$B$38/$B17,0))</f>
        <v>6</v>
      </c>
      <c r="F17" s="17" t="str">
        <f>IF($B17=0,"∞",ROUNDUP(CALC!$B$39/$B17,0))</f>
        <v>4</v>
      </c>
      <c r="G17" s="17" t="str">
        <f>IF($B17=0,"∞",ROUNDUP(CALC!$B$40/$B17,0))</f>
        <v>2</v>
      </c>
    </row>
    <row r="18" ht="14.25" customHeight="1">
      <c r="A18" s="6" t="s">
        <v>76</v>
      </c>
      <c r="B18" s="18" t="str">
        <f>CALC!$D$26</f>
        <v>18.0</v>
      </c>
      <c r="C18" s="17" t="str">
        <f>IF($B18=0,"∞",ROUNDUP(CALC!$B$36/$B18,0))</f>
        <v>2</v>
      </c>
      <c r="D18" s="17" t="str">
        <f>IF($B18=0,"∞",ROUNDUP(CALC!$B$37/$B18,0))</f>
        <v>2</v>
      </c>
      <c r="E18" s="17" t="str">
        <f>IF($B18=0,"∞",ROUNDUP(CALC!$B$38/$B18,0))</f>
        <v>2</v>
      </c>
      <c r="F18" s="17" t="str">
        <f>IF($B18=0,"∞",ROUNDUP(CALC!$B$39/$B18,0))</f>
        <v>2</v>
      </c>
      <c r="G18" s="17" t="str">
        <f>IF($B18=0,"∞",ROUNDUP(CALC!$B$40/$B18,0))</f>
        <v>1</v>
      </c>
    </row>
    <row r="19" ht="14.25" customHeight="1">
      <c r="A19" s="6" t="s">
        <v>82</v>
      </c>
      <c r="B19" s="18" t="str">
        <f>CALC!$D$28</f>
        <v>5.0</v>
      </c>
      <c r="C19" s="17" t="str">
        <f>IF($B19=0,"∞",ROUNDUP(CALC!$B$36/$B19,0))</f>
        <v>4</v>
      </c>
      <c r="D19" s="17" t="str">
        <f>IF($B19=0,"∞",ROUNDUP(CALC!$B$37/$B19,0))</f>
        <v>6</v>
      </c>
      <c r="E19" s="17" t="str">
        <f>IF($B19=0,"∞",ROUNDUP(CALC!$B$38/$B19,0))</f>
        <v>6</v>
      </c>
      <c r="F19" s="17" t="str">
        <f>IF($B19=0,"∞",ROUNDUP(CALC!$B$39/$B19,0))</f>
        <v>4</v>
      </c>
      <c r="G19" s="17" t="str">
        <f>IF($B19=0,"∞",ROUNDUP(CALC!$B$40/$B19,0))</f>
        <v>2</v>
      </c>
    </row>
    <row r="20" ht="14.25" customHeight="1">
      <c r="A20" s="6" t="s">
        <v>348</v>
      </c>
      <c r="B20" s="8" t="s">
        <v>16</v>
      </c>
      <c r="C20" s="8" t="s">
        <v>16</v>
      </c>
      <c r="D20" s="8" t="s">
        <v>16</v>
      </c>
      <c r="E20" s="8" t="s">
        <v>16</v>
      </c>
      <c r="F20" s="8" t="s">
        <v>16</v>
      </c>
      <c r="G20" s="8" t="s">
        <v>16</v>
      </c>
    </row>
    <row r="21" ht="14.25" customHeight="1">
      <c r="A21" s="6" t="s">
        <v>80</v>
      </c>
      <c r="B21" s="18" t="str">
        <f>CALC!$D$27</f>
        <v>0.0</v>
      </c>
      <c r="C21" s="17" t="str">
        <f>IF($B21=0,"∞",ROUNDUP(CALC!$B$36/$B21,0))</f>
        <v>∞</v>
      </c>
      <c r="D21" s="17" t="str">
        <f>IF($B21=0,"∞",ROUNDUP(CALC!$B$37/$B21,0))</f>
        <v>∞</v>
      </c>
      <c r="E21" s="17" t="str">
        <f>IF($B21=0,"∞",ROUNDUP(CALC!$B$38/$B21,0))</f>
        <v>∞</v>
      </c>
      <c r="F21" s="17" t="str">
        <f>IF($B21=0,"∞",ROUNDUP(CALC!$B$39/$B21,0))</f>
        <v>∞</v>
      </c>
      <c r="G21" s="17" t="str">
        <f>IF($B21=0,"∞",ROUNDUP(CALC!$B$40/$B21,0))</f>
        <v>∞</v>
      </c>
    </row>
    <row r="22" ht="14.25" customHeight="1">
      <c r="A22" s="6" t="s">
        <v>193</v>
      </c>
      <c r="B22" s="18" t="str">
        <f>CALC!$D$29</f>
        <v>20.0</v>
      </c>
      <c r="C22" s="17" t="str">
        <f>IF($B22=0,"∞",ROUNDUP(CALC!$B$36/$B22,0))</f>
        <v>1</v>
      </c>
      <c r="D22" s="17" t="str">
        <f>IF($B22=0,"∞",ROUNDUP(CALC!$B$37/$B22,0))</f>
        <v>2</v>
      </c>
      <c r="E22" s="17" t="str">
        <f>IF($B22=0,"∞",ROUNDUP(CALC!$B$38/$B22,0))</f>
        <v>2</v>
      </c>
      <c r="F22" s="17" t="str">
        <f>IF($B22=0,"∞",ROUNDUP(CALC!$B$39/$B22,0))</f>
        <v>1</v>
      </c>
      <c r="G22" s="17" t="str">
        <f>IF($B22=0,"∞",ROUNDUP(CALC!$B$40/$B22,0))</f>
        <v>1</v>
      </c>
    </row>
    <row r="23" ht="14.25" customHeight="1"/>
    <row r="24" ht="14.25" customHeight="1">
      <c r="A24" s="3" t="s">
        <v>351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ht="14.25" customHeight="1">
      <c r="A25" s="2" t="s">
        <v>352</v>
      </c>
    </row>
    <row r="26" ht="33.75" customHeight="1">
      <c r="A26" s="5" t="s">
        <v>342</v>
      </c>
      <c r="B26" s="5" t="s">
        <v>353</v>
      </c>
      <c r="C26" s="5" t="s">
        <v>114</v>
      </c>
      <c r="D26" s="5" t="s">
        <v>343</v>
      </c>
      <c r="E26" s="5" t="s">
        <v>118</v>
      </c>
      <c r="F26" s="5" t="s">
        <v>121</v>
      </c>
      <c r="G26" s="5" t="s">
        <v>124</v>
      </c>
    </row>
    <row r="27" ht="14.25" customHeight="1">
      <c r="A27" s="6" t="s">
        <v>344</v>
      </c>
      <c r="B27" s="28" t="str">
        <f>CALC!$G$25</f>
        <v>1.538</v>
      </c>
      <c r="C27" s="18" t="str">
        <f t="shared" ref="C27:G27" si="1">IF(ISNUMBER(C17),C17/$B27,"∞")</f>
        <v>2.6</v>
      </c>
      <c r="D27" s="18" t="str">
        <f t="shared" si="1"/>
        <v>3.9</v>
      </c>
      <c r="E27" s="18" t="str">
        <f t="shared" si="1"/>
        <v>3.9</v>
      </c>
      <c r="F27" s="18" t="str">
        <f t="shared" si="1"/>
        <v>2.6</v>
      </c>
      <c r="G27" s="18" t="str">
        <f t="shared" si="1"/>
        <v>1.3</v>
      </c>
    </row>
    <row r="28" ht="14.25" customHeight="1">
      <c r="A28" s="6" t="s">
        <v>76</v>
      </c>
      <c r="B28" s="28" t="str">
        <f>CALC!$G$26</f>
        <v>1.176</v>
      </c>
      <c r="C28" s="18" t="str">
        <f t="shared" ref="C28:G28" si="2">IF(ISNUMBER(C18),C18/$B28,"∞")</f>
        <v>1.7</v>
      </c>
      <c r="D28" s="18" t="str">
        <f t="shared" si="2"/>
        <v>1.7</v>
      </c>
      <c r="E28" s="18" t="str">
        <f t="shared" si="2"/>
        <v>1.7</v>
      </c>
      <c r="F28" s="18" t="str">
        <f t="shared" si="2"/>
        <v>1.7</v>
      </c>
      <c r="G28" s="18" t="str">
        <f t="shared" si="2"/>
        <v>0.9</v>
      </c>
    </row>
    <row r="29" ht="14.25" customHeight="1">
      <c r="A29" s="6" t="s">
        <v>82</v>
      </c>
      <c r="B29" s="28" t="str">
        <f>CALC!$G$28</f>
        <v>1.538</v>
      </c>
      <c r="C29" s="18" t="str">
        <f t="shared" ref="C29:G29" si="3">IF(ISNUMBER(C19),C19/$B29,"∞")</f>
        <v>2.6</v>
      </c>
      <c r="D29" s="18" t="str">
        <f t="shared" si="3"/>
        <v>3.9</v>
      </c>
      <c r="E29" s="18" t="str">
        <f t="shared" si="3"/>
        <v>3.9</v>
      </c>
      <c r="F29" s="18" t="str">
        <f t="shared" si="3"/>
        <v>2.6</v>
      </c>
      <c r="G29" s="18" t="str">
        <f t="shared" si="3"/>
        <v>1.3</v>
      </c>
    </row>
    <row r="30" ht="14.25" customHeight="1">
      <c r="A30" s="6" t="s">
        <v>348</v>
      </c>
      <c r="B30" s="8" t="s">
        <v>16</v>
      </c>
      <c r="C30" s="8" t="s">
        <v>16</v>
      </c>
      <c r="D30" s="8" t="s">
        <v>16</v>
      </c>
      <c r="E30" s="8" t="s">
        <v>16</v>
      </c>
      <c r="F30" s="8" t="s">
        <v>16</v>
      </c>
      <c r="G30" s="8" t="s">
        <v>16</v>
      </c>
    </row>
    <row r="31" ht="14.25" customHeight="1">
      <c r="A31" s="6" t="s">
        <v>80</v>
      </c>
      <c r="B31" s="28" t="str">
        <f>CALC!$G$27</f>
        <v>1.176</v>
      </c>
      <c r="C31" s="18" t="str">
        <f t="shared" ref="C31:G31" si="4">IF(ISNUMBER(C21),C21/$B31,"∞")</f>
        <v>∞</v>
      </c>
      <c r="D31" s="18" t="str">
        <f t="shared" si="4"/>
        <v>∞</v>
      </c>
      <c r="E31" s="18" t="str">
        <f t="shared" si="4"/>
        <v>∞</v>
      </c>
      <c r="F31" s="18" t="str">
        <f t="shared" si="4"/>
        <v>∞</v>
      </c>
      <c r="G31" s="18" t="str">
        <f t="shared" si="4"/>
        <v>∞</v>
      </c>
    </row>
    <row r="32" ht="14.25" customHeight="1">
      <c r="A32" s="6" t="s">
        <v>193</v>
      </c>
      <c r="B32" s="28" t="str">
        <f>CALC!$G$29</f>
        <v>0.500</v>
      </c>
      <c r="C32" s="18" t="str">
        <f t="shared" ref="C32:G32" si="5">IF(ISNUMBER(C22),C22/$B32,"∞")</f>
        <v>2.0</v>
      </c>
      <c r="D32" s="18" t="str">
        <f t="shared" si="5"/>
        <v>4.0</v>
      </c>
      <c r="E32" s="18" t="str">
        <f t="shared" si="5"/>
        <v>4.0</v>
      </c>
      <c r="F32" s="18" t="str">
        <f t="shared" si="5"/>
        <v>2.0</v>
      </c>
      <c r="G32" s="18" t="str">
        <f t="shared" si="5"/>
        <v>2.0</v>
      </c>
    </row>
    <row r="33" ht="14.25" customHeight="1"/>
    <row r="34" ht="14.25" customHeight="1">
      <c r="A34" s="3" t="s">
        <v>354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ht="14.25" customHeight="1">
      <c r="A35" s="2" t="s">
        <v>355</v>
      </c>
    </row>
    <row r="36" ht="33.75" customHeight="1">
      <c r="A36" s="5" t="s">
        <v>342</v>
      </c>
      <c r="B36" s="5" t="s">
        <v>114</v>
      </c>
      <c r="C36" s="5" t="s">
        <v>343</v>
      </c>
      <c r="D36" s="5" t="s">
        <v>118</v>
      </c>
      <c r="E36" s="5" t="s">
        <v>121</v>
      </c>
      <c r="F36" s="5" t="s">
        <v>124</v>
      </c>
    </row>
    <row r="37" ht="14.25" customHeight="1">
      <c r="A37" s="6" t="s">
        <v>344</v>
      </c>
      <c r="B37" s="47" t="s">
        <v>16</v>
      </c>
      <c r="C37" s="47" t="s">
        <v>16</v>
      </c>
      <c r="D37" s="48" t="s">
        <v>356</v>
      </c>
      <c r="E37" s="48" t="s">
        <v>356</v>
      </c>
      <c r="F37" s="47" t="s">
        <v>16</v>
      </c>
    </row>
    <row r="38" ht="14.25" customHeight="1">
      <c r="A38" s="6" t="s">
        <v>76</v>
      </c>
      <c r="B38" s="47" t="s">
        <v>16</v>
      </c>
      <c r="C38" s="47" t="s">
        <v>16</v>
      </c>
      <c r="D38" s="47" t="s">
        <v>357</v>
      </c>
      <c r="E38" s="48" t="s">
        <v>356</v>
      </c>
      <c r="F38" s="47" t="s">
        <v>16</v>
      </c>
    </row>
    <row r="39" ht="14.25" customHeight="1">
      <c r="A39" s="6" t="s">
        <v>82</v>
      </c>
      <c r="B39" s="47" t="s">
        <v>16</v>
      </c>
      <c r="C39" s="47" t="s">
        <v>16</v>
      </c>
      <c r="D39" s="48" t="s">
        <v>356</v>
      </c>
      <c r="E39" s="48" t="s">
        <v>356</v>
      </c>
      <c r="F39" s="47" t="s">
        <v>16</v>
      </c>
    </row>
    <row r="40" ht="14.25" customHeight="1">
      <c r="A40" s="6" t="s">
        <v>348</v>
      </c>
      <c r="B40" s="49" t="s">
        <v>16</v>
      </c>
      <c r="C40" s="49" t="s">
        <v>16</v>
      </c>
      <c r="D40" s="49" t="s">
        <v>16</v>
      </c>
      <c r="E40" s="49" t="s">
        <v>16</v>
      </c>
      <c r="F40" s="49" t="s">
        <v>16</v>
      </c>
    </row>
    <row r="41" ht="14.25" customHeight="1">
      <c r="A41" s="6" t="s">
        <v>80</v>
      </c>
      <c r="B41" s="47" t="s">
        <v>16</v>
      </c>
      <c r="C41" s="47" t="s">
        <v>16</v>
      </c>
      <c r="D41" s="47" t="s">
        <v>357</v>
      </c>
      <c r="E41" s="47" t="s">
        <v>358</v>
      </c>
      <c r="F41" s="47" t="s">
        <v>16</v>
      </c>
    </row>
    <row r="42" ht="14.25" customHeight="1">
      <c r="A42" s="6" t="s">
        <v>193</v>
      </c>
      <c r="B42" s="47" t="s">
        <v>16</v>
      </c>
      <c r="C42" s="47" t="s">
        <v>16</v>
      </c>
      <c r="D42" s="48" t="s">
        <v>356</v>
      </c>
      <c r="E42" s="48" t="s">
        <v>356</v>
      </c>
      <c r="F42" s="47" t="s">
        <v>16</v>
      </c>
    </row>
    <row r="43" ht="14.25" customHeight="1"/>
    <row r="44" ht="14.25" customHeight="1">
      <c r="A44" s="3" t="s">
        <v>359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ht="14.25" customHeight="1">
      <c r="A45" s="2"/>
    </row>
    <row r="46" ht="33.75" customHeight="1">
      <c r="A46" s="5" t="s">
        <v>342</v>
      </c>
      <c r="B46" s="5" t="s">
        <v>360</v>
      </c>
      <c r="C46" s="5" t="s">
        <v>361</v>
      </c>
      <c r="D46" s="5" t="s">
        <v>362</v>
      </c>
      <c r="E46" s="5" t="s">
        <v>363</v>
      </c>
      <c r="F46" s="5" t="s">
        <v>364</v>
      </c>
      <c r="G46" s="5" t="s">
        <v>365</v>
      </c>
      <c r="H46" s="5" t="s">
        <v>366</v>
      </c>
      <c r="I46" s="5" t="s">
        <v>367</v>
      </c>
      <c r="J46" s="5" t="s">
        <v>368</v>
      </c>
      <c r="K46" s="5" t="s">
        <v>369</v>
      </c>
      <c r="L46" s="5"/>
    </row>
    <row r="47" ht="14.25" customHeight="1">
      <c r="A47" s="6" t="s">
        <v>344</v>
      </c>
      <c r="B47" s="16" t="str">
        <f t="shared" ref="B47:F47" si="6">B7</f>
        <v>✔</v>
      </c>
      <c r="C47" s="16" t="str">
        <f t="shared" si="6"/>
        <v>✔</v>
      </c>
      <c r="D47" s="16" t="str">
        <f t="shared" si="6"/>
        <v>X</v>
      </c>
      <c r="E47" s="16" t="str">
        <f t="shared" si="6"/>
        <v>X</v>
      </c>
      <c r="F47" s="16" t="str">
        <f t="shared" si="6"/>
        <v>✔</v>
      </c>
      <c r="G47" s="47" t="str">
        <f>IF(OR(B37="BỊ CHẶN",B37="nửa cổng"),"X",IF($B17=0,"⊕",IF(C27&lt;=MIN(C27,C28,C29,C31,C32)*CALC!$B$16,"✔✔","✔")))</f>
        <v>✔</v>
      </c>
      <c r="H47" s="47" t="str">
        <f>IF(OR(C37="BỊ CHẶN",C37="nửa cổng"),"X",IF($B17=0,"⊕",IF(D27&lt;=MIN(D27,D28,D29,D31,D32)*CALC!$B$16,"✔✔","✔")))</f>
        <v>✔</v>
      </c>
      <c r="I47" s="47" t="str">
        <f>IF(OR(D37="BỊ CHẶN",D37="nửa cổng"),"X",IF($B17=0,"⊕",IF(E27&lt;=MIN(E27,E28,E29,E31,E32)*CALC!$B$16,"✔✔","✔")))</f>
        <v>X</v>
      </c>
      <c r="J47" s="47" t="str">
        <f>IF(OR(E37="BỊ CHẶN",E37="nửa cổng"),"X",IF($B17=0,"⊕",IF(F27&lt;=MIN(F27,F28,F29,F31,F32)*CALC!$B$16,"✔✔","✔")))</f>
        <v>X</v>
      </c>
      <c r="K47" s="47" t="str">
        <f>IF(OR(F37="BỊ CHẶN",F37="nửa cổng"),"X",IF($B17=0,"⊕",IF(G27&lt;=MIN(G27,G28,G29,G31,G32)*CALC!$B$16,"✔✔","✔")))</f>
        <v>✔</v>
      </c>
      <c r="L47" s="26"/>
    </row>
    <row r="48" ht="14.25" customHeight="1">
      <c r="A48" s="6" t="s">
        <v>76</v>
      </c>
      <c r="B48" s="16" t="str">
        <f t="shared" ref="B48:F48" si="7">B8</f>
        <v>✔✔</v>
      </c>
      <c r="C48" s="16" t="str">
        <f t="shared" si="7"/>
        <v>✔✔</v>
      </c>
      <c r="D48" s="16" t="str">
        <f t="shared" si="7"/>
        <v>X</v>
      </c>
      <c r="E48" s="16" t="str">
        <f t="shared" si="7"/>
        <v>X</v>
      </c>
      <c r="F48" s="16" t="str">
        <f t="shared" si="7"/>
        <v>✔✔</v>
      </c>
      <c r="G48" s="47" t="str">
        <f>IF(OR(B38="BỊ CHẶN",B38="nửa cổng"),"X",IF($B18=0,"⊕",IF(C28&lt;=MIN(C27,C28,C29,C31,C32)*CALC!$B$16,"✔✔","✔")))</f>
        <v>✔✔</v>
      </c>
      <c r="H48" s="47" t="str">
        <f>IF(OR(C38="BỊ CHẶN",C38="nửa cổng"),"X",IF($B18=0,"⊕",IF(D28&lt;=MIN(D27,D28,D29,D31,D32)*CALC!$B$16,"✔✔","✔")))</f>
        <v>✔✔</v>
      </c>
      <c r="I48" s="47" t="str">
        <f>IF(OR(D38="BỊ CHẶN",D38="nửa cổng"),"X",IF($B18=0,"⊕",IF(E28&lt;=MIN(E27,E28,E29,E31,E32)*CALC!$B$16,"✔✔","✔")))</f>
        <v>X</v>
      </c>
      <c r="J48" s="47" t="str">
        <f>IF(OR(E38="BỊ CHẶN",E38="nửa cổng"),"X",IF($B18=0,"⊕",IF(F28&lt;=MIN(F27,F28,F29,F31,F32)*CALC!$B$16,"✔✔","✔")))</f>
        <v>X</v>
      </c>
      <c r="K48" s="47" t="str">
        <f>IF(OR(F38="BỊ CHẶN",F38="nửa cổng"),"X",IF($B18=0,"⊕",IF(G28&lt;=MIN(G27,G28,G29,G31,G32)*CALC!$B$16,"✔✔","✔")))</f>
        <v>✔✔</v>
      </c>
      <c r="L48" s="26"/>
    </row>
    <row r="49" ht="14.25" customHeight="1">
      <c r="A49" s="6" t="s">
        <v>82</v>
      </c>
      <c r="B49" s="16" t="str">
        <f t="shared" ref="B49:F49" si="8">B9</f>
        <v>✔</v>
      </c>
      <c r="C49" s="16" t="str">
        <f t="shared" si="8"/>
        <v>✔</v>
      </c>
      <c r="D49" s="16" t="str">
        <f t="shared" si="8"/>
        <v>✔</v>
      </c>
      <c r="E49" s="16" t="str">
        <f t="shared" si="8"/>
        <v>X</v>
      </c>
      <c r="F49" s="16" t="str">
        <f t="shared" si="8"/>
        <v>✔✔</v>
      </c>
      <c r="G49" s="47" t="str">
        <f>IF(OR(B39="BỊ CHẶN",B39="nửa cổng"),"X",IF($B19=0,"⊕",IF(C29&lt;=MIN(C27,C28,C29,C31,C32)*CALC!$B$16,"✔✔","✔")))</f>
        <v>✔</v>
      </c>
      <c r="H49" s="47" t="str">
        <f>IF(OR(C39="BỊ CHẶN",C39="nửa cổng"),"X",IF($B19=0,"⊕",IF(D29&lt;=MIN(D27,D28,D29,D31,D32)*CALC!$B$16,"✔✔","✔")))</f>
        <v>✔</v>
      </c>
      <c r="I49" s="47" t="str">
        <f>IF(OR(D39="BỊ CHẶN",D39="nửa cổng"),"X",IF($B19=0,"⊕",IF(E29&lt;=MIN(E27,E28,E29,E31,E32)*CALC!$B$16,"✔✔","✔")))</f>
        <v>X</v>
      </c>
      <c r="J49" s="47" t="str">
        <f>IF(OR(E39="BỊ CHẶN",E39="nửa cổng"),"X",IF($B19=0,"⊕",IF(F29&lt;=MIN(F27,F28,F29,F31,F32)*CALC!$B$16,"✔✔","✔")))</f>
        <v>X</v>
      </c>
      <c r="K49" s="47" t="str">
        <f>IF(OR(F39="BỊ CHẶN",F39="nửa cổng"),"X",IF($B19=0,"⊕",IF(G29&lt;=MIN(G27,G28,G29,G31,G32)*CALC!$B$16,"✔✔","✔")))</f>
        <v>✔</v>
      </c>
      <c r="L49" s="26"/>
    </row>
    <row r="50" ht="14.25" customHeight="1">
      <c r="A50" s="6" t="s">
        <v>348</v>
      </c>
      <c r="B50" s="16" t="str">
        <f t="shared" ref="B50:F50" si="9">B10</f>
        <v/>
      </c>
      <c r="C50" s="16" t="str">
        <f t="shared" si="9"/>
        <v/>
      </c>
      <c r="D50" s="16" t="str">
        <f t="shared" si="9"/>
        <v/>
      </c>
      <c r="E50" s="16" t="str">
        <f t="shared" si="9"/>
        <v/>
      </c>
      <c r="F50" s="16" t="str">
        <f t="shared" si="9"/>
        <v/>
      </c>
      <c r="G50" s="8" t="s">
        <v>16</v>
      </c>
      <c r="H50" s="8" t="s">
        <v>16</v>
      </c>
      <c r="I50" s="8" t="s">
        <v>16</v>
      </c>
      <c r="J50" s="8" t="s">
        <v>16</v>
      </c>
      <c r="K50" s="8" t="s">
        <v>16</v>
      </c>
      <c r="L50" s="8"/>
    </row>
    <row r="51" ht="14.25" customHeight="1">
      <c r="A51" s="6" t="s">
        <v>80</v>
      </c>
      <c r="B51" s="16" t="str">
        <f t="shared" ref="B51:F51" si="10">B11</f>
        <v>✔</v>
      </c>
      <c r="C51" s="16" t="str">
        <f t="shared" si="10"/>
        <v>✔</v>
      </c>
      <c r="D51" s="16" t="str">
        <f t="shared" si="10"/>
        <v>✔✔</v>
      </c>
      <c r="E51" s="16" t="str">
        <f t="shared" si="10"/>
        <v>✔✔</v>
      </c>
      <c r="F51" s="16" t="str">
        <f t="shared" si="10"/>
        <v>✔</v>
      </c>
      <c r="G51" s="47" t="str">
        <f>IF(OR(B41="BỊ CHẶN",B41="nửa cổng"),"X",IF($B21=0,"⊕",IF(C31&lt;=MIN(C27,C28,C29,C31,C32)*CALC!$B$16,"✔✔","✔")))</f>
        <v>⊕</v>
      </c>
      <c r="H51" s="47" t="str">
        <f>IF(OR(C41="BỊ CHẶN",C41="nửa cổng"),"X",IF($B21=0,"⊕",IF(D31&lt;=MIN(D27,D28,D29,D31,D32)*CALC!$B$16,"✔✔","✔")))</f>
        <v>⊕</v>
      </c>
      <c r="I51" s="47" t="str">
        <f>IF(OR(D41="BỊ CHẶN",D41="nửa cổng"),"X",IF($B21=0,"⊕",IF(E31&lt;=MIN(E27,E28,E29,E31,E32)*CALC!$B$16,"✔✔","✔")))</f>
        <v>X</v>
      </c>
      <c r="J51" s="47" t="str">
        <f>IF(OR(E41="BỊ CHẶN",E41="nửa cổng"),"X",IF($B21=0,"⊕",IF(F31&lt;=MIN(F27,F28,F29,F31,F32)*CALC!$B$16,"✔✔","✔")))</f>
        <v>⊕</v>
      </c>
      <c r="K51" s="47" t="str">
        <f>IF(OR(F41="BỊ CHẶN",F41="nửa cổng"),"X",IF($B21=0,"⊕",IF(G31&lt;=MIN(G27,G28,G29,G31,G32)*CALC!$B$16,"✔✔","✔")))</f>
        <v>⊕</v>
      </c>
      <c r="L51" s="9"/>
    </row>
    <row r="52" ht="14.25" customHeight="1">
      <c r="A52" s="6" t="s">
        <v>193</v>
      </c>
      <c r="B52" s="16" t="str">
        <f t="shared" ref="B52:F52" si="11">B12</f>
        <v>✔</v>
      </c>
      <c r="C52" s="16" t="str">
        <f t="shared" si="11"/>
        <v>✔</v>
      </c>
      <c r="D52" s="16" t="str">
        <f t="shared" si="11"/>
        <v>X</v>
      </c>
      <c r="E52" s="16" t="str">
        <f t="shared" si="11"/>
        <v>X</v>
      </c>
      <c r="F52" s="16" t="str">
        <f t="shared" si="11"/>
        <v>✔</v>
      </c>
      <c r="G52" s="47" t="str">
        <f>IF(OR(B42="BỊ CHẶN",B42="nửa cổng"),"X",IF($B22=0,"⊕",IF(C32&lt;=MIN(C27,C28,C29,C31,C32)*CALC!$B$16,"✔✔","✔")))</f>
        <v>✔✔</v>
      </c>
      <c r="H52" s="47" t="str">
        <f>IF(OR(C42="BỊ CHẶN",C42="nửa cổng"),"X",IF($B22=0,"⊕",IF(D32&lt;=MIN(D27,D28,D29,D31,D32)*CALC!$B$16,"✔✔","✔")))</f>
        <v>✔</v>
      </c>
      <c r="I52" s="47" t="str">
        <f>IF(OR(D42="BỊ CHẶN",D42="nửa cổng"),"X",IF($B22=0,"⊕",IF(E32&lt;=MIN(E27,E28,E29,E31,E32)*CALC!$B$16,"✔✔","✔")))</f>
        <v>X</v>
      </c>
      <c r="J52" s="47" t="str">
        <f>IF(OR(E42="BỊ CHẶN",E42="nửa cổng"),"X",IF($B22=0,"⊕",IF(F32&lt;=MIN(F27,F28,F29,F31,F32)*CALC!$B$16,"✔✔","✔")))</f>
        <v>X</v>
      </c>
      <c r="K52" s="47" t="str">
        <f>IF(OR(F42="BỊ CHẶN",F42="nửa cổng"),"X",IF($B22=0,"⊕",IF(G32&lt;=MIN(G27,G28,G29,G31,G32)*CALC!$B$16,"✔✔","✔")))</f>
        <v>✔</v>
      </c>
      <c r="L52" s="26"/>
    </row>
    <row r="53" ht="14.25" customHeight="1"/>
    <row r="54" ht="14.25" customHeight="1">
      <c r="A54" s="37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</row>
    <row r="55" ht="14.25" customHeight="1">
      <c r="A55" s="39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</row>
    <row r="56" ht="33.75" customHeight="1">
      <c r="A56" s="40"/>
      <c r="B56" s="40"/>
      <c r="C56" s="40"/>
      <c r="D56" s="40"/>
      <c r="E56" s="40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</row>
    <row r="57" ht="14.25" customHeight="1">
      <c r="A57" s="42"/>
      <c r="B57" s="41"/>
      <c r="C57" s="41"/>
      <c r="D57" s="41"/>
      <c r="E57" s="43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</row>
    <row r="58" ht="14.25" customHeight="1">
      <c r="A58" s="42"/>
      <c r="B58" s="41"/>
      <c r="C58" s="41"/>
      <c r="D58" s="41"/>
      <c r="E58" s="42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</row>
    <row r="59" ht="14.25" customHeight="1">
      <c r="A59" s="42"/>
      <c r="B59" s="41"/>
      <c r="C59" s="41"/>
      <c r="D59" s="41"/>
      <c r="E59" s="43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</row>
    <row r="60" ht="14.25" customHeight="1">
      <c r="A60" s="42"/>
      <c r="B60" s="41"/>
      <c r="C60" s="41"/>
      <c r="D60" s="41"/>
      <c r="E60" s="43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</row>
    <row r="61" ht="14.25" customHeight="1">
      <c r="A61" s="42"/>
      <c r="B61" s="41"/>
      <c r="C61" s="41"/>
      <c r="D61" s="41"/>
      <c r="E61" s="42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</row>
    <row r="62" ht="14.25" customHeight="1">
      <c r="A62" s="42"/>
      <c r="B62" s="41"/>
      <c r="C62" s="41"/>
      <c r="D62" s="41"/>
      <c r="E62" s="42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</row>
    <row r="63" ht="14.2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</row>
    <row r="64" ht="14.2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</row>
    <row r="65" ht="14.2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</row>
    <row r="66" ht="14.2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</row>
    <row r="67" ht="14.2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</row>
    <row r="68" ht="14.2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</row>
    <row r="69" ht="14.2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</row>
    <row r="70" ht="14.2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</row>
    <row r="71" ht="14.2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</row>
    <row r="72" ht="14.2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</row>
    <row r="73" ht="14.2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</row>
    <row r="74" ht="14.2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</row>
    <row r="75" ht="14.2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</row>
    <row r="76" ht="14.2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</row>
    <row r="77" ht="14.2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</row>
    <row r="78" ht="14.2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</row>
    <row r="79" ht="14.2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</row>
    <row r="80" ht="14.2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</row>
    <row r="81" ht="14.2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</row>
    <row r="82" ht="14.2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</row>
    <row r="83" ht="14.2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</row>
    <row r="84" ht="14.2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</row>
    <row r="85" ht="14.2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</row>
    <row r="86" ht="14.2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</row>
    <row r="87" ht="14.2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</row>
    <row r="88" ht="14.2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</row>
    <row r="89" ht="14.2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</row>
    <row r="90" ht="14.2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</row>
    <row r="91" ht="14.2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</row>
    <row r="92" ht="14.2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</row>
    <row r="93" ht="14.2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</row>
    <row r="94" ht="14.2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</row>
    <row r="95" ht="14.2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</row>
    <row r="96" ht="14.2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</row>
    <row r="97" ht="14.2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</row>
    <row r="98" ht="14.2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</row>
    <row r="99" ht="14.2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</row>
    <row r="100" ht="14.2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</row>
    <row r="101" ht="14.2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</row>
    <row r="102" ht="14.2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</row>
    <row r="103" ht="14.2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</row>
    <row r="104" ht="14.2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</row>
    <row r="105" ht="14.2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22.0"/>
    <col customWidth="1" min="3" max="13" width="13.0"/>
    <col customWidth="1" min="14" max="29" width="8.57"/>
  </cols>
  <sheetData>
    <row r="1" ht="14.25" customHeight="1">
      <c r="A1" s="1" t="s">
        <v>370</v>
      </c>
    </row>
    <row r="2" ht="14.25" customHeight="1">
      <c r="A2" s="2" t="s">
        <v>371</v>
      </c>
    </row>
    <row r="3" ht="14.25" customHeight="1"/>
    <row r="4" ht="14.25" customHeight="1">
      <c r="A4" s="3" t="s">
        <v>372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ht="33.75" customHeight="1">
      <c r="A5" s="5" t="s">
        <v>373</v>
      </c>
      <c r="B5" s="5" t="s">
        <v>132</v>
      </c>
      <c r="C5" s="5" t="s">
        <v>254</v>
      </c>
      <c r="D5" s="5" t="s">
        <v>374</v>
      </c>
    </row>
    <row r="6" ht="14.25" customHeight="1">
      <c r="A6" s="6" t="s">
        <v>375</v>
      </c>
      <c r="B6" s="9" t="s">
        <v>376</v>
      </c>
      <c r="C6" s="50" t="str">
        <f>CALC!$B$17</f>
        <v>420</v>
      </c>
      <c r="D6" s="9" t="s">
        <v>377</v>
      </c>
    </row>
    <row r="7" ht="14.25" customHeight="1">
      <c r="A7" s="6" t="s">
        <v>378</v>
      </c>
      <c r="B7" s="9" t="s">
        <v>379</v>
      </c>
      <c r="C7" s="50" t="str">
        <f>CALC!$B$18</f>
        <v>1,120</v>
      </c>
      <c r="D7" s="9" t="s">
        <v>380</v>
      </c>
    </row>
    <row r="8" ht="14.25" customHeight="1">
      <c r="A8" s="6" t="s">
        <v>381</v>
      </c>
      <c r="B8" s="9" t="s">
        <v>382</v>
      </c>
      <c r="C8" s="50" t="str">
        <f>CALC!$B$19</f>
        <v>3,500</v>
      </c>
      <c r="D8" s="9" t="s">
        <v>383</v>
      </c>
    </row>
    <row r="9" ht="14.25" customHeight="1">
      <c r="A9" s="6" t="s">
        <v>228</v>
      </c>
      <c r="B9" s="9" t="s">
        <v>384</v>
      </c>
      <c r="C9" s="50" t="str">
        <f>CALC!$B$20</f>
        <v>4,620</v>
      </c>
      <c r="D9" s="9" t="s">
        <v>385</v>
      </c>
    </row>
    <row r="10" ht="14.25" customHeight="1">
      <c r="A10" s="6" t="s">
        <v>193</v>
      </c>
      <c r="B10" s="9" t="s">
        <v>386</v>
      </c>
      <c r="C10" s="50" t="str">
        <f>CONSTANTS!$I$28</f>
        <v>300</v>
      </c>
      <c r="D10" s="9" t="s">
        <v>387</v>
      </c>
    </row>
    <row r="11" ht="14.25" customHeight="1">
      <c r="A11" s="6" t="s">
        <v>388</v>
      </c>
      <c r="B11" s="9" t="s">
        <v>389</v>
      </c>
      <c r="C11" s="51" t="str">
        <f>200*CALC!$B$13</f>
        <v>140.0</v>
      </c>
      <c r="D11" s="9"/>
    </row>
    <row r="12" ht="14.25" customHeight="1">
      <c r="A12" s="6" t="s">
        <v>390</v>
      </c>
      <c r="B12" s="9" t="s">
        <v>391</v>
      </c>
      <c r="C12" s="51" t="str">
        <f>200*(1-CALC!$B$13)</f>
        <v>60.0</v>
      </c>
      <c r="D12" s="9" t="s">
        <v>392</v>
      </c>
    </row>
    <row r="13" ht="14.25" customHeight="1">
      <c r="A13" s="6" t="s">
        <v>393</v>
      </c>
      <c r="B13" s="9" t="s">
        <v>394</v>
      </c>
      <c r="C13" s="51" t="str">
        <f>C12/CALC!$L$36</f>
        <v>6.0</v>
      </c>
      <c r="D13" s="9"/>
    </row>
    <row r="14" ht="14.25" customHeight="1"/>
    <row r="15" ht="14.25" customHeight="1">
      <c r="A15" s="3" t="s">
        <v>395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ht="14.25" customHeight="1">
      <c r="A16" s="2" t="s">
        <v>396</v>
      </c>
    </row>
    <row r="17" ht="33.75" customHeight="1">
      <c r="A17" s="5" t="s">
        <v>149</v>
      </c>
      <c r="B17" s="5" t="s">
        <v>150</v>
      </c>
      <c r="C17" s="5" t="s">
        <v>397</v>
      </c>
      <c r="D17" s="5" t="s">
        <v>280</v>
      </c>
      <c r="E17" s="5" t="s">
        <v>200</v>
      </c>
      <c r="F17" s="5" t="s">
        <v>398</v>
      </c>
      <c r="G17" s="5" t="s">
        <v>399</v>
      </c>
      <c r="H17" s="5" t="s">
        <v>400</v>
      </c>
      <c r="I17" s="5" t="s">
        <v>401</v>
      </c>
      <c r="J17" s="5" t="s">
        <v>402</v>
      </c>
      <c r="K17" s="5" t="s">
        <v>403</v>
      </c>
      <c r="L17" s="5" t="s">
        <v>404</v>
      </c>
      <c r="M17" s="5" t="s">
        <v>405</v>
      </c>
    </row>
    <row r="18" ht="14.25" customHeight="1">
      <c r="A18" s="6">
        <v>1.0</v>
      </c>
      <c r="B18" s="8" t="s">
        <v>157</v>
      </c>
      <c r="C18" s="33" t="str">
        <f>CONSTANTS!$D$74</f>
        <v>440</v>
      </c>
      <c r="D18" s="33" t="str">
        <f>SUMIFS(CALC!$O$57:$O$149,CALC!$A$57:$A$149,$A18)</f>
        <v>701</v>
      </c>
      <c r="E18" s="33" t="str">
        <f>SUMIFS(CALC!$N$57:$N$149,CALC!$A$57:$A$149,$A18)</f>
        <v>500</v>
      </c>
      <c r="F18" s="50" t="str">
        <f t="shared" ref="F18:F27" si="1">C18+D18+E18</f>
        <v>1,641</v>
      </c>
      <c r="G18" s="32" t="str">
        <f t="shared" ref="G18:G27" si="2">F18/$C$6</f>
        <v>3.91×</v>
      </c>
      <c r="H18" s="32" t="str">
        <f t="shared" ref="H18:H27" si="3">F18/$C$7</f>
        <v>1.47×</v>
      </c>
      <c r="I18" s="52" t="str">
        <f t="shared" ref="I18:I27" si="4">F18/$C$9</f>
        <v>0.36×</v>
      </c>
      <c r="J18" s="8" t="str">
        <f t="shared" ref="J18:J27" si="5">IF(I18&gt;=1,"CÓ","KHÔNG")</f>
        <v>KHÔNG</v>
      </c>
      <c r="K18" s="35" t="str">
        <f t="shared" ref="K18:K27" si="6">$C$7/F18</f>
        <v>68%</v>
      </c>
      <c r="L18" s="35" t="str">
        <f t="shared" ref="L18:L27" si="7">$C$8/F18</f>
        <v>213%</v>
      </c>
      <c r="M18" s="35" t="str">
        <f t="shared" ref="M18:M27" si="8">$C$10/F18</f>
        <v>18%</v>
      </c>
    </row>
    <row r="19" ht="14.25" customHeight="1">
      <c r="A19" s="6">
        <v>2.0</v>
      </c>
      <c r="B19" s="8" t="s">
        <v>158</v>
      </c>
      <c r="C19" s="33" t="str">
        <f>CONSTANTS!$D$75</f>
        <v>440</v>
      </c>
      <c r="D19" s="33" t="str">
        <f>SUMIFS(CALC!$O$57:$O$149,CALC!$A$57:$A$149,$A19)</f>
        <v>846</v>
      </c>
      <c r="E19" s="33" t="str">
        <f>SUMIFS(CALC!$N$57:$N$149,CALC!$A$57:$A$149,$A19)</f>
        <v>400</v>
      </c>
      <c r="F19" s="50" t="str">
        <f t="shared" si="1"/>
        <v>1,686</v>
      </c>
      <c r="G19" s="32" t="str">
        <f t="shared" si="2"/>
        <v>4.01×</v>
      </c>
      <c r="H19" s="32" t="str">
        <f t="shared" si="3"/>
        <v>1.51×</v>
      </c>
      <c r="I19" s="52" t="str">
        <f t="shared" si="4"/>
        <v>0.36×</v>
      </c>
      <c r="J19" s="8" t="str">
        <f t="shared" si="5"/>
        <v>KHÔNG</v>
      </c>
      <c r="K19" s="35" t="str">
        <f t="shared" si="6"/>
        <v>66%</v>
      </c>
      <c r="L19" s="35" t="str">
        <f t="shared" si="7"/>
        <v>208%</v>
      </c>
      <c r="M19" s="35" t="str">
        <f t="shared" si="8"/>
        <v>18%</v>
      </c>
    </row>
    <row r="20" ht="14.25" customHeight="1">
      <c r="A20" s="6">
        <v>3.0</v>
      </c>
      <c r="B20" s="8" t="s">
        <v>159</v>
      </c>
      <c r="C20" s="33" t="str">
        <f>CONSTANTS!$D$76</f>
        <v>440</v>
      </c>
      <c r="D20" s="33" t="str">
        <f>SUMIFS(CALC!$O$57:$O$149,CALC!$A$57:$A$149,$A20)</f>
        <v>1,048</v>
      </c>
      <c r="E20" s="33" t="str">
        <f>SUMIFS(CALC!$N$57:$N$149,CALC!$A$57:$A$149,$A20)</f>
        <v>800</v>
      </c>
      <c r="F20" s="50" t="str">
        <f t="shared" si="1"/>
        <v>2,288</v>
      </c>
      <c r="G20" s="32" t="str">
        <f t="shared" si="2"/>
        <v>5.45×</v>
      </c>
      <c r="H20" s="32" t="str">
        <f t="shared" si="3"/>
        <v>2.04×</v>
      </c>
      <c r="I20" s="52" t="str">
        <f t="shared" si="4"/>
        <v>0.50×</v>
      </c>
      <c r="J20" s="8" t="str">
        <f t="shared" si="5"/>
        <v>KHÔNG</v>
      </c>
      <c r="K20" s="35" t="str">
        <f t="shared" si="6"/>
        <v>49%</v>
      </c>
      <c r="L20" s="35" t="str">
        <f t="shared" si="7"/>
        <v>153%</v>
      </c>
      <c r="M20" s="35" t="str">
        <f t="shared" si="8"/>
        <v>13%</v>
      </c>
    </row>
    <row r="21" ht="14.25" customHeight="1">
      <c r="A21" s="6">
        <v>4.0</v>
      </c>
      <c r="B21" s="8" t="s">
        <v>160</v>
      </c>
      <c r="C21" s="33" t="str">
        <f>CONSTANTS!$D$77</f>
        <v>440</v>
      </c>
      <c r="D21" s="33" t="str">
        <f>SUMIFS(CALC!$O$57:$O$149,CALC!$A$57:$A$149,$A21)</f>
        <v>1,419</v>
      </c>
      <c r="E21" s="33" t="str">
        <f>SUMIFS(CALC!$N$57:$N$149,CALC!$A$57:$A$149,$A21)</f>
        <v>600</v>
      </c>
      <c r="F21" s="50" t="str">
        <f t="shared" si="1"/>
        <v>2,459</v>
      </c>
      <c r="G21" s="32" t="str">
        <f t="shared" si="2"/>
        <v>5.85×</v>
      </c>
      <c r="H21" s="32" t="str">
        <f t="shared" si="3"/>
        <v>2.20×</v>
      </c>
      <c r="I21" s="52" t="str">
        <f t="shared" si="4"/>
        <v>0.53×</v>
      </c>
      <c r="J21" s="8" t="str">
        <f t="shared" si="5"/>
        <v>KHÔNG</v>
      </c>
      <c r="K21" s="35" t="str">
        <f t="shared" si="6"/>
        <v>46%</v>
      </c>
      <c r="L21" s="35" t="str">
        <f t="shared" si="7"/>
        <v>142%</v>
      </c>
      <c r="M21" s="35" t="str">
        <f t="shared" si="8"/>
        <v>12%</v>
      </c>
    </row>
    <row r="22" ht="14.25" customHeight="1">
      <c r="A22" s="6">
        <v>5.0</v>
      </c>
      <c r="B22" s="8" t="s">
        <v>161</v>
      </c>
      <c r="C22" s="33" t="str">
        <f>CONSTANTS!$D$78</f>
        <v>440</v>
      </c>
      <c r="D22" s="33" t="str">
        <f>SUMIFS(CALC!$O$57:$O$149,CALC!$A$57:$A$149,$A22)</f>
        <v>1,329</v>
      </c>
      <c r="E22" s="33" t="str">
        <f>SUMIFS(CALC!$N$57:$N$149,CALC!$A$57:$A$149,$A22)</f>
        <v>900</v>
      </c>
      <c r="F22" s="50" t="str">
        <f t="shared" si="1"/>
        <v>2,669</v>
      </c>
      <c r="G22" s="32" t="str">
        <f t="shared" si="2"/>
        <v>6.35×</v>
      </c>
      <c r="H22" s="32" t="str">
        <f t="shared" si="3"/>
        <v>2.38×</v>
      </c>
      <c r="I22" s="52" t="str">
        <f t="shared" si="4"/>
        <v>0.58×</v>
      </c>
      <c r="J22" s="8" t="str">
        <f t="shared" si="5"/>
        <v>KHÔNG</v>
      </c>
      <c r="K22" s="35" t="str">
        <f t="shared" si="6"/>
        <v>42%</v>
      </c>
      <c r="L22" s="35" t="str">
        <f t="shared" si="7"/>
        <v>131%</v>
      </c>
      <c r="M22" s="35" t="str">
        <f t="shared" si="8"/>
        <v>11%</v>
      </c>
    </row>
    <row r="23" ht="14.25" customHeight="1">
      <c r="A23" s="6">
        <v>6.0</v>
      </c>
      <c r="B23" s="8" t="s">
        <v>162</v>
      </c>
      <c r="C23" s="33" t="str">
        <f>CONSTANTS!$D$79</f>
        <v>440</v>
      </c>
      <c r="D23" s="33" t="str">
        <f>SUMIFS(CALC!$O$57:$O$149,CALC!$A$57:$A$149,$A23)</f>
        <v>1,578</v>
      </c>
      <c r="E23" s="33" t="str">
        <f>SUMIFS(CALC!$N$57:$N$149,CALC!$A$57:$A$149,$A23)</f>
        <v>600</v>
      </c>
      <c r="F23" s="50" t="str">
        <f t="shared" si="1"/>
        <v>2,618</v>
      </c>
      <c r="G23" s="32" t="str">
        <f t="shared" si="2"/>
        <v>6.23×</v>
      </c>
      <c r="H23" s="32" t="str">
        <f t="shared" si="3"/>
        <v>2.34×</v>
      </c>
      <c r="I23" s="52" t="str">
        <f t="shared" si="4"/>
        <v>0.57×</v>
      </c>
      <c r="J23" s="8" t="str">
        <f t="shared" si="5"/>
        <v>KHÔNG</v>
      </c>
      <c r="K23" s="35" t="str">
        <f t="shared" si="6"/>
        <v>43%</v>
      </c>
      <c r="L23" s="35" t="str">
        <f t="shared" si="7"/>
        <v>134%</v>
      </c>
      <c r="M23" s="35" t="str">
        <f t="shared" si="8"/>
        <v>11%</v>
      </c>
    </row>
    <row r="24" ht="14.25" customHeight="1">
      <c r="A24" s="6">
        <v>7.0</v>
      </c>
      <c r="B24" s="8" t="s">
        <v>163</v>
      </c>
      <c r="C24" s="33" t="str">
        <f>CONSTANTS!$D$80</f>
        <v>440</v>
      </c>
      <c r="D24" s="33" t="str">
        <f>SUMIFS(CALC!$O$57:$O$149,CALC!$A$57:$A$149,$A24)</f>
        <v>1,889</v>
      </c>
      <c r="E24" s="33" t="str">
        <f>SUMIFS(CALC!$N$57:$N$149,CALC!$A$57:$A$149,$A24)</f>
        <v>800</v>
      </c>
      <c r="F24" s="50" t="str">
        <f t="shared" si="1"/>
        <v>3,129</v>
      </c>
      <c r="G24" s="32" t="str">
        <f t="shared" si="2"/>
        <v>7.45×</v>
      </c>
      <c r="H24" s="32" t="str">
        <f t="shared" si="3"/>
        <v>2.79×</v>
      </c>
      <c r="I24" s="52" t="str">
        <f t="shared" si="4"/>
        <v>0.68×</v>
      </c>
      <c r="J24" s="8" t="str">
        <f t="shared" si="5"/>
        <v>KHÔNG</v>
      </c>
      <c r="K24" s="35" t="str">
        <f t="shared" si="6"/>
        <v>36%</v>
      </c>
      <c r="L24" s="35" t="str">
        <f t="shared" si="7"/>
        <v>112%</v>
      </c>
      <c r="M24" s="35" t="str">
        <f t="shared" si="8"/>
        <v>10%</v>
      </c>
    </row>
    <row r="25" ht="14.25" customHeight="1">
      <c r="A25" s="6">
        <v>8.0</v>
      </c>
      <c r="B25" s="8" t="s">
        <v>164</v>
      </c>
      <c r="C25" s="33" t="str">
        <f>CONSTANTS!$D$81</f>
        <v>440</v>
      </c>
      <c r="D25" s="33" t="str">
        <f>SUMIFS(CALC!$O$57:$O$149,CALC!$A$57:$A$149,$A25)</f>
        <v>2,114</v>
      </c>
      <c r="E25" s="33" t="str">
        <f>SUMIFS(CALC!$N$57:$N$149,CALC!$A$57:$A$149,$A25)</f>
        <v>800</v>
      </c>
      <c r="F25" s="50" t="str">
        <f t="shared" si="1"/>
        <v>3,354</v>
      </c>
      <c r="G25" s="32" t="str">
        <f t="shared" si="2"/>
        <v>7.99×</v>
      </c>
      <c r="H25" s="32" t="str">
        <f t="shared" si="3"/>
        <v>2.99×</v>
      </c>
      <c r="I25" s="52" t="str">
        <f t="shared" si="4"/>
        <v>0.73×</v>
      </c>
      <c r="J25" s="8" t="str">
        <f t="shared" si="5"/>
        <v>KHÔNG</v>
      </c>
      <c r="K25" s="35" t="str">
        <f t="shared" si="6"/>
        <v>33%</v>
      </c>
      <c r="L25" s="35" t="str">
        <f t="shared" si="7"/>
        <v>104%</v>
      </c>
      <c r="M25" s="35" t="str">
        <f t="shared" si="8"/>
        <v>9%</v>
      </c>
    </row>
    <row r="26" ht="14.25" customHeight="1">
      <c r="A26" s="6">
        <v>9.0</v>
      </c>
      <c r="B26" s="8" t="s">
        <v>165</v>
      </c>
      <c r="C26" s="33" t="str">
        <f>CONSTANTS!$D$82</f>
        <v>440</v>
      </c>
      <c r="D26" s="33" t="str">
        <f>SUMIFS(CALC!$O$57:$O$149,CALC!$A$57:$A$149,$A26)</f>
        <v>1,244</v>
      </c>
      <c r="E26" s="33" t="str">
        <f>SUMIFS(CALC!$N$57:$N$149,CALC!$A$57:$A$149,$A26)</f>
        <v>700</v>
      </c>
      <c r="F26" s="50" t="str">
        <f t="shared" si="1"/>
        <v>2,384</v>
      </c>
      <c r="G26" s="32" t="str">
        <f t="shared" si="2"/>
        <v>5.68×</v>
      </c>
      <c r="H26" s="32" t="str">
        <f t="shared" si="3"/>
        <v>2.13×</v>
      </c>
      <c r="I26" s="52" t="str">
        <f t="shared" si="4"/>
        <v>0.52×</v>
      </c>
      <c r="J26" s="8" t="str">
        <f t="shared" si="5"/>
        <v>KHÔNG</v>
      </c>
      <c r="K26" s="35" t="str">
        <f t="shared" si="6"/>
        <v>47%</v>
      </c>
      <c r="L26" s="35" t="str">
        <f t="shared" si="7"/>
        <v>147%</v>
      </c>
      <c r="M26" s="35" t="str">
        <f t="shared" si="8"/>
        <v>13%</v>
      </c>
    </row>
    <row r="27" ht="14.25" customHeight="1">
      <c r="A27" s="6">
        <v>10.0</v>
      </c>
      <c r="B27" s="8" t="s">
        <v>166</v>
      </c>
      <c r="C27" s="33" t="str">
        <f>CONSTANTS!$D$83</f>
        <v>440</v>
      </c>
      <c r="D27" s="33" t="str">
        <f>SUMIFS(CALC!$O$57:$O$149,CALC!$A$57:$A$149,$A27)</f>
        <v>2,324</v>
      </c>
      <c r="E27" s="33" t="str">
        <f>SUMIFS(CALC!$N$57:$N$149,CALC!$A$57:$A$149,$A27)</f>
        <v>800</v>
      </c>
      <c r="F27" s="50" t="str">
        <f t="shared" si="1"/>
        <v>3,564</v>
      </c>
      <c r="G27" s="32" t="str">
        <f t="shared" si="2"/>
        <v>8.49×</v>
      </c>
      <c r="H27" s="32" t="str">
        <f t="shared" si="3"/>
        <v>3.18×</v>
      </c>
      <c r="I27" s="52" t="str">
        <f t="shared" si="4"/>
        <v>0.77×</v>
      </c>
      <c r="J27" s="8" t="str">
        <f t="shared" si="5"/>
        <v>KHÔNG</v>
      </c>
      <c r="K27" s="35" t="str">
        <f t="shared" si="6"/>
        <v>31%</v>
      </c>
      <c r="L27" s="35" t="str">
        <f t="shared" si="7"/>
        <v>98%</v>
      </c>
      <c r="M27" s="35" t="str">
        <f t="shared" si="8"/>
        <v>8%</v>
      </c>
    </row>
    <row r="28" ht="14.25" customHeight="1">
      <c r="B28" s="6" t="s">
        <v>406</v>
      </c>
      <c r="F28" s="50" t="str">
        <f>SUM(F18:F27)</f>
        <v>25,792</v>
      </c>
    </row>
    <row r="29" ht="14.25" customHeight="1"/>
    <row r="30" ht="14.25" customHeight="1">
      <c r="A30" s="3" t="s">
        <v>407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ht="14.25" customHeight="1">
      <c r="A31" s="2" t="s">
        <v>408</v>
      </c>
    </row>
    <row r="32" ht="33.75" customHeight="1">
      <c r="A32" s="5" t="s">
        <v>199</v>
      </c>
      <c r="B32" s="5" t="s">
        <v>409</v>
      </c>
      <c r="C32" s="5" t="s">
        <v>410</v>
      </c>
      <c r="D32" s="5" t="s">
        <v>411</v>
      </c>
      <c r="E32" s="5" t="s">
        <v>412</v>
      </c>
      <c r="F32" s="5" t="s">
        <v>192</v>
      </c>
      <c r="G32" s="5" t="s">
        <v>413</v>
      </c>
      <c r="H32" s="5" t="s">
        <v>194</v>
      </c>
      <c r="I32" s="5" t="s">
        <v>414</v>
      </c>
      <c r="J32" s="5" t="s">
        <v>415</v>
      </c>
      <c r="K32" s="5" t="s">
        <v>195</v>
      </c>
    </row>
    <row r="33" ht="14.25" customHeight="1">
      <c r="A33" s="6">
        <v>1.0</v>
      </c>
      <c r="B33" s="33" t="str">
        <f>IF(COUNTIFS(CALC!$A$57:$A$149,1,CALC!$C$57:$C$149,"&lt;="&amp;$A33)=0,"",CONSTANTS!$D$74+SUMIFS(CALC!$O$57:$O$149,CALC!$A$57:$A$149,1,CALC!$C$57:$C$149,"&lt;="&amp;$A33)+SUMIFS(CALC!$N$57:$N$149,CALC!$A$57:$A$149,1,CALC!$C$57:$C$149,"&lt;="&amp;$A33))</f>
        <v>480</v>
      </c>
      <c r="C33" s="33" t="str">
        <f>IF(COUNTIFS(CALC!$A$57:$A$149,2,CALC!$C$57:$C$149,"&lt;="&amp;$A33)=0,"",CONSTANTS!$D$75+SUMIFS(CALC!$O$57:$O$149,CALC!$A$57:$A$149,2,CALC!$C$57:$C$149,"&lt;="&amp;$A33)+SUMIFS(CALC!$N$57:$N$149,CALC!$A$57:$A$149,2,CALC!$C$57:$C$149,"&lt;="&amp;$A33))</f>
        <v>490</v>
      </c>
      <c r="D33" s="33" t="str">
        <f>IF(COUNTIFS(CALC!$A$57:$A$149,3,CALC!$C$57:$C$149,"&lt;="&amp;$A33)=0,"",CONSTANTS!$D$76+SUMIFS(CALC!$O$57:$O$149,CALC!$A$57:$A$149,3,CALC!$C$57:$C$149,"&lt;="&amp;$A33)+SUMIFS(CALC!$N$57:$N$149,CALC!$A$57:$A$149,3,CALC!$C$57:$C$149,"&lt;="&amp;$A33))</f>
        <v>490</v>
      </c>
      <c r="E33" s="33" t="str">
        <f>IF(COUNTIFS(CALC!$A$57:$A$149,4,CALC!$C$57:$C$149,"&lt;="&amp;$A33)=0,"",CONSTANTS!$D$77+SUMIFS(CALC!$O$57:$O$149,CALC!$A$57:$A$149,4,CALC!$C$57:$C$149,"&lt;="&amp;$A33)+SUMIFS(CALC!$N$57:$N$149,CALC!$A$57:$A$149,4,CALC!$C$57:$C$149,"&lt;="&amp;$A33))</f>
        <v>500</v>
      </c>
      <c r="F33" s="33" t="str">
        <f>IF(COUNTIFS(CALC!$A$57:$A$149,5,CALC!$C$57:$C$149,"&lt;="&amp;$A33)=0,"",CONSTANTS!$D$78+SUMIFS(CALC!$O$57:$O$149,CALC!$A$57:$A$149,5,CALC!$C$57:$C$149,"&lt;="&amp;$A33)+SUMIFS(CALC!$N$57:$N$149,CALC!$A$57:$A$149,5,CALC!$C$57:$C$149,"&lt;="&amp;$A33))</f>
        <v>500</v>
      </c>
      <c r="G33" s="33" t="str">
        <f>IF(COUNTIFS(CALC!$A$57:$A$149,6,CALC!$C$57:$C$149,"&lt;="&amp;$A33)=0,"",CONSTANTS!$D$79+SUMIFS(CALC!$O$57:$O$149,CALC!$A$57:$A$149,6,CALC!$C$57:$C$149,"&lt;="&amp;$A33)+SUMIFS(CALC!$N$57:$N$149,CALC!$A$57:$A$149,6,CALC!$C$57:$C$149,"&lt;="&amp;$A33))</f>
        <v>500</v>
      </c>
      <c r="H33" s="33" t="str">
        <f>IF(COUNTIFS(CALC!$A$57:$A$149,7,CALC!$C$57:$C$149,"&lt;="&amp;$A33)=0,"",CONSTANTS!$D$80+SUMIFS(CALC!$O$57:$O$149,CALC!$A$57:$A$149,7,CALC!$C$57:$C$149,"&lt;="&amp;$A33)+SUMIFS(CALC!$N$57:$N$149,CALC!$A$57:$A$149,7,CALC!$C$57:$C$149,"&lt;="&amp;$A33))</f>
        <v>710</v>
      </c>
      <c r="I33" s="33" t="str">
        <f>IF(COUNTIFS(CALC!$A$57:$A$149,8,CALC!$C$57:$C$149,"&lt;="&amp;$A33)=0,"",CONSTANTS!$D$81+SUMIFS(CALC!$O$57:$O$149,CALC!$A$57:$A$149,8,CALC!$C$57:$C$149,"&lt;="&amp;$A33)+SUMIFS(CALC!$N$57:$N$149,CALC!$A$57:$A$149,8,CALC!$C$57:$C$149,"&lt;="&amp;$A33))</f>
        <v>615</v>
      </c>
      <c r="J33" s="33" t="str">
        <f>IF(COUNTIFS(CALC!$A$57:$A$149,9,CALC!$C$57:$C$149,"&lt;="&amp;$A33)=0,"",CONSTANTS!$D$82+SUMIFS(CALC!$O$57:$O$149,CALC!$A$57:$A$149,9,CALC!$C$57:$C$149,"&lt;="&amp;$A33)+SUMIFS(CALC!$N$57:$N$149,CALC!$A$57:$A$149,9,CALC!$C$57:$C$149,"&lt;="&amp;$A33))</f>
        <v>490</v>
      </c>
      <c r="K33" s="33" t="str">
        <f>IF(COUNTIFS(CALC!$A$57:$A$149,10,CALC!$C$57:$C$149,"&lt;="&amp;$A33)=0,"",CONSTANTS!$D$83+SUMIFS(CALC!$O$57:$O$149,CALC!$A$57:$A$149,10,CALC!$C$57:$C$149,"&lt;="&amp;$A33)+SUMIFS(CALC!$N$57:$N$149,CALC!$A$57:$A$149,10,CALC!$C$57:$C$149,"&lt;="&amp;$A33))</f>
        <v>861</v>
      </c>
    </row>
    <row r="34" ht="14.25" customHeight="1">
      <c r="A34" s="6">
        <v>2.0</v>
      </c>
      <c r="B34" s="33" t="str">
        <f>IF(COUNTIFS(CALC!$A$57:$A$149,1,CALC!$C$57:$C$149,"&lt;="&amp;$A34)=0,"",CONSTANTS!$D$74+SUMIFS(CALC!$O$57:$O$149,CALC!$A$57:$A$149,1,CALC!$C$57:$C$149,"&lt;="&amp;$A34)+SUMIFS(CALC!$N$57:$N$149,CALC!$A$57:$A$149,1,CALC!$C$57:$C$149,"&lt;="&amp;$A34))</f>
        <v>538</v>
      </c>
      <c r="C34" s="33" t="str">
        <f>IF(COUNTIFS(CALC!$A$57:$A$149,2,CALC!$C$57:$C$149,"&lt;="&amp;$A34)=0,"",CONSTANTS!$D$75+SUMIFS(CALC!$O$57:$O$149,CALC!$A$57:$A$149,2,CALC!$C$57:$C$149,"&lt;="&amp;$A34)+SUMIFS(CALC!$N$57:$N$149,CALC!$A$57:$A$149,2,CALC!$C$57:$C$149,"&lt;="&amp;$A34))</f>
        <v>550</v>
      </c>
      <c r="D34" s="33" t="str">
        <f>IF(COUNTIFS(CALC!$A$57:$A$149,3,CALC!$C$57:$C$149,"&lt;="&amp;$A34)=0,"",CONSTANTS!$D$76+SUMIFS(CALC!$O$57:$O$149,CALC!$A$57:$A$149,3,CALC!$C$57:$C$149,"&lt;="&amp;$A34)+SUMIFS(CALC!$N$57:$N$149,CALC!$A$57:$A$149,3,CALC!$C$57:$C$149,"&lt;="&amp;$A34))</f>
        <v>570</v>
      </c>
      <c r="E34" s="33" t="str">
        <f>IF(COUNTIFS(CALC!$A$57:$A$149,4,CALC!$C$57:$C$149,"&lt;="&amp;$A34)=0,"",CONSTANTS!$D$77+SUMIFS(CALC!$O$57:$O$149,CALC!$A$57:$A$149,4,CALC!$C$57:$C$149,"&lt;="&amp;$A34)+SUMIFS(CALC!$N$57:$N$149,CALC!$A$57:$A$149,4,CALC!$C$57:$C$149,"&lt;="&amp;$A34))</f>
        <v>588</v>
      </c>
      <c r="F34" s="33" t="str">
        <f>IF(COUNTIFS(CALC!$A$57:$A$149,5,CALC!$C$57:$C$149,"&lt;="&amp;$A34)=0,"",CONSTANTS!$D$78+SUMIFS(CALC!$O$57:$O$149,CALC!$A$57:$A$149,5,CALC!$C$57:$C$149,"&lt;="&amp;$A34)+SUMIFS(CALC!$N$57:$N$149,CALC!$A$57:$A$149,5,CALC!$C$57:$C$149,"&lt;="&amp;$A34))</f>
        <v>608</v>
      </c>
      <c r="G34" s="33" t="str">
        <f>IF(COUNTIFS(CALC!$A$57:$A$149,6,CALC!$C$57:$C$149,"&lt;="&amp;$A34)=0,"",CONSTANTS!$D$79+SUMIFS(CALC!$O$57:$O$149,CALC!$A$57:$A$149,6,CALC!$C$57:$C$149,"&lt;="&amp;$A34)+SUMIFS(CALC!$N$57:$N$149,CALC!$A$57:$A$149,6,CALC!$C$57:$C$149,"&lt;="&amp;$A34))</f>
        <v>678</v>
      </c>
      <c r="H34" s="33" t="str">
        <f>IF(COUNTIFS(CALC!$A$57:$A$149,7,CALC!$C$57:$C$149,"&lt;="&amp;$A34)=0,"",CONSTANTS!$D$80+SUMIFS(CALC!$O$57:$O$149,CALC!$A$57:$A$149,7,CALC!$C$57:$C$149,"&lt;="&amp;$A34)+SUMIFS(CALC!$N$57:$N$149,CALC!$A$57:$A$149,7,CALC!$C$57:$C$149,"&lt;="&amp;$A34))</f>
        <v>918</v>
      </c>
      <c r="I34" s="33" t="str">
        <f>IF(COUNTIFS(CALC!$A$57:$A$149,8,CALC!$C$57:$C$149,"&lt;="&amp;$A34)=0,"",CONSTANTS!$D$81+SUMIFS(CALC!$O$57:$O$149,CALC!$A$57:$A$149,8,CALC!$C$57:$C$149,"&lt;="&amp;$A34)+SUMIFS(CALC!$N$57:$N$149,CALC!$A$57:$A$149,8,CALC!$C$57:$C$149,"&lt;="&amp;$A34))</f>
        <v>828</v>
      </c>
      <c r="J34" s="33" t="str">
        <f>IF(COUNTIFS(CALC!$A$57:$A$149,9,CALC!$C$57:$C$149,"&lt;="&amp;$A34)=0,"",CONSTANTS!$D$82+SUMIFS(CALC!$O$57:$O$149,CALC!$A$57:$A$149,9,CALC!$C$57:$C$149,"&lt;="&amp;$A34)+SUMIFS(CALC!$N$57:$N$149,CALC!$A$57:$A$149,9,CALC!$C$57:$C$149,"&lt;="&amp;$A34))</f>
        <v>698</v>
      </c>
      <c r="K34" s="33" t="str">
        <f>IF(COUNTIFS(CALC!$A$57:$A$149,10,CALC!$C$57:$C$149,"&lt;="&amp;$A34)=0,"",CONSTANTS!$D$83+SUMIFS(CALC!$O$57:$O$149,CALC!$A$57:$A$149,10,CALC!$C$57:$C$149,"&lt;="&amp;$A34)+SUMIFS(CALC!$N$57:$N$149,CALC!$A$57:$A$149,10,CALC!$C$57:$C$149,"&lt;="&amp;$A34))</f>
        <v>1,139</v>
      </c>
    </row>
    <row r="35" ht="14.25" customHeight="1">
      <c r="A35" s="6">
        <v>3.0</v>
      </c>
      <c r="B35" s="33" t="str">
        <f>IF(COUNTIFS(CALC!$A$57:$A$149,1,CALC!$C$57:$C$149,"&lt;="&amp;$A35)=0,"",CONSTANTS!$D$74+SUMIFS(CALC!$O$57:$O$149,CALC!$A$57:$A$149,1,CALC!$C$57:$C$149,"&lt;="&amp;$A35)+SUMIFS(CALC!$N$57:$N$149,CALC!$A$57:$A$149,1,CALC!$C$57:$C$149,"&lt;="&amp;$A35))</f>
        <v>704</v>
      </c>
      <c r="C35" s="33" t="str">
        <f>IF(COUNTIFS(CALC!$A$57:$A$149,2,CALC!$C$57:$C$149,"&lt;="&amp;$A35)=0,"",CONSTANTS!$D$75+SUMIFS(CALC!$O$57:$O$149,CALC!$A$57:$A$149,2,CALC!$C$57:$C$149,"&lt;="&amp;$A35)+SUMIFS(CALC!$N$57:$N$149,CALC!$A$57:$A$149,2,CALC!$C$57:$C$149,"&lt;="&amp;$A35))</f>
        <v>744</v>
      </c>
      <c r="D35" s="33" t="str">
        <f>IF(COUNTIFS(CALC!$A$57:$A$149,3,CALC!$C$57:$C$149,"&lt;="&amp;$A35)=0,"",CONSTANTS!$D$76+SUMIFS(CALC!$O$57:$O$149,CALC!$A$57:$A$149,3,CALC!$C$57:$C$149,"&lt;="&amp;$A35)+SUMIFS(CALC!$N$57:$N$149,CALC!$A$57:$A$149,3,CALC!$C$57:$C$149,"&lt;="&amp;$A35))</f>
        <v>802</v>
      </c>
      <c r="E35" s="33" t="str">
        <f>IF(COUNTIFS(CALC!$A$57:$A$149,4,CALC!$C$57:$C$149,"&lt;="&amp;$A35)=0,"",CONSTANTS!$D$77+SUMIFS(CALC!$O$57:$O$149,CALC!$A$57:$A$149,4,CALC!$C$57:$C$149,"&lt;="&amp;$A35)+SUMIFS(CALC!$N$57:$N$149,CALC!$A$57:$A$149,4,CALC!$C$57:$C$149,"&lt;="&amp;$A35))</f>
        <v>882</v>
      </c>
      <c r="F35" s="33" t="str">
        <f>IF(COUNTIFS(CALC!$A$57:$A$149,5,CALC!$C$57:$C$149,"&lt;="&amp;$A35)=0,"",CONSTANTS!$D$78+SUMIFS(CALC!$O$57:$O$149,CALC!$A$57:$A$149,5,CALC!$C$57:$C$149,"&lt;="&amp;$A35)+SUMIFS(CALC!$N$57:$N$149,CALC!$A$57:$A$149,5,CALC!$C$57:$C$149,"&lt;="&amp;$A35))</f>
        <v>844</v>
      </c>
      <c r="G35" s="33" t="str">
        <f>IF(COUNTIFS(CALC!$A$57:$A$149,6,CALC!$C$57:$C$149,"&lt;="&amp;$A35)=0,"",CONSTANTS!$D$79+SUMIFS(CALC!$O$57:$O$149,CALC!$A$57:$A$149,6,CALC!$C$57:$C$149,"&lt;="&amp;$A35)+SUMIFS(CALC!$N$57:$N$149,CALC!$A$57:$A$149,6,CALC!$C$57:$C$149,"&lt;="&amp;$A35))</f>
        <v>1,118</v>
      </c>
      <c r="H35" s="33" t="str">
        <f>IF(COUNTIFS(CALC!$A$57:$A$149,7,CALC!$C$57:$C$149,"&lt;="&amp;$A35)=0,"",CONSTANTS!$D$80+SUMIFS(CALC!$O$57:$O$149,CALC!$A$57:$A$149,7,CALC!$C$57:$C$149,"&lt;="&amp;$A35)+SUMIFS(CALC!$N$57:$N$149,CALC!$A$57:$A$149,7,CALC!$C$57:$C$149,"&lt;="&amp;$A35))</f>
        <v>1,399</v>
      </c>
      <c r="I35" s="33" t="str">
        <f>IF(COUNTIFS(CALC!$A$57:$A$149,8,CALC!$C$57:$C$149,"&lt;="&amp;$A35)=0,"",CONSTANTS!$D$81+SUMIFS(CALC!$O$57:$O$149,CALC!$A$57:$A$149,8,CALC!$C$57:$C$149,"&lt;="&amp;$A35)+SUMIFS(CALC!$N$57:$N$149,CALC!$A$57:$A$149,8,CALC!$C$57:$C$149,"&lt;="&amp;$A35))</f>
        <v>1,189</v>
      </c>
      <c r="J35" s="33" t="str">
        <f>IF(COUNTIFS(CALC!$A$57:$A$149,9,CALC!$C$57:$C$149,"&lt;="&amp;$A35)=0,"",CONSTANTS!$D$82+SUMIFS(CALC!$O$57:$O$149,CALC!$A$57:$A$149,9,CALC!$C$57:$C$149,"&lt;="&amp;$A35)+SUMIFS(CALC!$N$57:$N$149,CALC!$A$57:$A$149,9,CALC!$C$57:$C$149,"&lt;="&amp;$A35))</f>
        <v>1,120</v>
      </c>
      <c r="K35" s="33" t="str">
        <f>IF(COUNTIFS(CALC!$A$57:$A$149,10,CALC!$C$57:$C$149,"&lt;="&amp;$A35)=0,"",CONSTANTS!$D$83+SUMIFS(CALC!$O$57:$O$149,CALC!$A$57:$A$149,10,CALC!$C$57:$C$149,"&lt;="&amp;$A35)+SUMIFS(CALC!$N$57:$N$149,CALC!$A$57:$A$149,10,CALC!$C$57:$C$149,"&lt;="&amp;$A35))</f>
        <v>1,579</v>
      </c>
    </row>
    <row r="36" ht="14.25" customHeight="1">
      <c r="A36" s="6">
        <v>4.0</v>
      </c>
      <c r="B36" s="33" t="str">
        <f>IF(COUNTIFS(CALC!$A$57:$A$149,1,CALC!$C$57:$C$149,"&lt;="&amp;$A36)=0,"",CONSTANTS!$D$74+SUMIFS(CALC!$O$57:$O$149,CALC!$A$57:$A$149,1,CALC!$C$57:$C$149,"&lt;="&amp;$A36)+SUMIFS(CALC!$N$57:$N$149,CALC!$A$57:$A$149,1,CALC!$C$57:$C$149,"&lt;="&amp;$A36))</f>
        <v>874</v>
      </c>
      <c r="C36" s="33" t="str">
        <f>IF(COUNTIFS(CALC!$A$57:$A$149,2,CALC!$C$57:$C$149,"&lt;="&amp;$A36)=0,"",CONSTANTS!$D$75+SUMIFS(CALC!$O$57:$O$149,CALC!$A$57:$A$149,2,CALC!$C$57:$C$149,"&lt;="&amp;$A36)+SUMIFS(CALC!$N$57:$N$149,CALC!$A$57:$A$149,2,CALC!$C$57:$C$149,"&lt;="&amp;$A36))</f>
        <v>854</v>
      </c>
      <c r="D36" s="33" t="str">
        <f>IF(COUNTIFS(CALC!$A$57:$A$149,3,CALC!$C$57:$C$149,"&lt;="&amp;$A36)=0,"",CONSTANTS!$D$76+SUMIFS(CALC!$O$57:$O$149,CALC!$A$57:$A$149,3,CALC!$C$57:$C$149,"&lt;="&amp;$A36)+SUMIFS(CALC!$N$57:$N$149,CALC!$A$57:$A$149,3,CALC!$C$57:$C$149,"&lt;="&amp;$A36))</f>
        <v>924</v>
      </c>
      <c r="E36" s="33" t="str">
        <f>IF(COUNTIFS(CALC!$A$57:$A$149,4,CALC!$C$57:$C$149,"&lt;="&amp;$A36)=0,"",CONSTANTS!$D$77+SUMIFS(CALC!$O$57:$O$149,CALC!$A$57:$A$149,4,CALC!$C$57:$C$149,"&lt;="&amp;$A36)+SUMIFS(CALC!$N$57:$N$149,CALC!$A$57:$A$149,4,CALC!$C$57:$C$149,"&lt;="&amp;$A36))</f>
        <v>996</v>
      </c>
      <c r="F36" s="33" t="str">
        <f>IF(COUNTIFS(CALC!$A$57:$A$149,5,CALC!$C$57:$C$149,"&lt;="&amp;$A36)=0,"",CONSTANTS!$D$78+SUMIFS(CALC!$O$57:$O$149,CALC!$A$57:$A$149,5,CALC!$C$57:$C$149,"&lt;="&amp;$A36)+SUMIFS(CALC!$N$57:$N$149,CALC!$A$57:$A$149,5,CALC!$C$57:$C$149,"&lt;="&amp;$A36))</f>
        <v>1,068</v>
      </c>
      <c r="G36" s="33" t="str">
        <f>IF(COUNTIFS(CALC!$A$57:$A$149,6,CALC!$C$57:$C$149,"&lt;="&amp;$A36)=0,"",CONSTANTS!$D$79+SUMIFS(CALC!$O$57:$O$149,CALC!$A$57:$A$149,6,CALC!$C$57:$C$149,"&lt;="&amp;$A36)+SUMIFS(CALC!$N$57:$N$149,CALC!$A$57:$A$149,6,CALC!$C$57:$C$149,"&lt;="&amp;$A36))</f>
        <v>1,214</v>
      </c>
      <c r="H36" s="33" t="str">
        <f>IF(COUNTIFS(CALC!$A$57:$A$149,7,CALC!$C$57:$C$149,"&lt;="&amp;$A36)=0,"",CONSTANTS!$D$80+SUMIFS(CALC!$O$57:$O$149,CALC!$A$57:$A$149,7,CALC!$C$57:$C$149,"&lt;="&amp;$A36)+SUMIFS(CALC!$N$57:$N$149,CALC!$A$57:$A$149,7,CALC!$C$57:$C$149,"&lt;="&amp;$A36))</f>
        <v>1,639</v>
      </c>
      <c r="I36" s="33" t="str">
        <f>IF(COUNTIFS(CALC!$A$57:$A$149,8,CALC!$C$57:$C$149,"&lt;="&amp;$A36)=0,"",CONSTANTS!$D$81+SUMIFS(CALC!$O$57:$O$149,CALC!$A$57:$A$149,8,CALC!$C$57:$C$149,"&lt;="&amp;$A36)+SUMIFS(CALC!$N$57:$N$149,CALC!$A$57:$A$149,8,CALC!$C$57:$C$149,"&lt;="&amp;$A36))</f>
        <v>1,394</v>
      </c>
      <c r="J36" s="33" t="str">
        <f>IF(COUNTIFS(CALC!$A$57:$A$149,9,CALC!$C$57:$C$149,"&lt;="&amp;$A36)=0,"",CONSTANTS!$D$82+SUMIFS(CALC!$O$57:$O$149,CALC!$A$57:$A$149,9,CALC!$C$57:$C$149,"&lt;="&amp;$A36)+SUMIFS(CALC!$N$57:$N$149,CALC!$A$57:$A$149,9,CALC!$C$57:$C$149,"&lt;="&amp;$A36))</f>
        <v>1,254</v>
      </c>
      <c r="K36" s="33" t="str">
        <f>IF(COUNTIFS(CALC!$A$57:$A$149,10,CALC!$C$57:$C$149,"&lt;="&amp;$A36)=0,"",CONSTANTS!$D$83+SUMIFS(CALC!$O$57:$O$149,CALC!$A$57:$A$149,10,CALC!$C$57:$C$149,"&lt;="&amp;$A36)+SUMIFS(CALC!$N$57:$N$149,CALC!$A$57:$A$149,10,CALC!$C$57:$C$149,"&lt;="&amp;$A36))</f>
        <v>1,953</v>
      </c>
    </row>
    <row r="37" ht="14.25" customHeight="1">
      <c r="A37" s="6">
        <v>5.0</v>
      </c>
      <c r="B37" s="33" t="str">
        <f>IF(COUNTIFS(CALC!$A$57:$A$149,1,CALC!$C$57:$C$149,"&lt;="&amp;$A37)=0,"",CONSTANTS!$D$74+SUMIFS(CALC!$O$57:$O$149,CALC!$A$57:$A$149,1,CALC!$C$57:$C$149,"&lt;="&amp;$A37)+SUMIFS(CALC!$N$57:$N$149,CALC!$A$57:$A$149,1,CALC!$C$57:$C$149,"&lt;="&amp;$A37))</f>
        <v>954</v>
      </c>
      <c r="C37" s="33" t="str">
        <f>IF(COUNTIFS(CALC!$A$57:$A$149,2,CALC!$C$57:$C$149,"&lt;="&amp;$A37)=0,"",CONSTANTS!$D$75+SUMIFS(CALC!$O$57:$O$149,CALC!$A$57:$A$149,2,CALC!$C$57:$C$149,"&lt;="&amp;$A37)+SUMIFS(CALC!$N$57:$N$149,CALC!$A$57:$A$149,2,CALC!$C$57:$C$149,"&lt;="&amp;$A37))</f>
        <v>1,074</v>
      </c>
      <c r="D37" s="33" t="str">
        <f>IF(COUNTIFS(CALC!$A$57:$A$149,3,CALC!$C$57:$C$149,"&lt;="&amp;$A37)=0,"",CONSTANTS!$D$76+SUMIFS(CALC!$O$57:$O$149,CALC!$A$57:$A$149,3,CALC!$C$57:$C$149,"&lt;="&amp;$A37)+SUMIFS(CALC!$N$57:$N$149,CALC!$A$57:$A$149,3,CALC!$C$57:$C$149,"&lt;="&amp;$A37))</f>
        <v>1,112</v>
      </c>
      <c r="E37" s="33" t="str">
        <f>IF(COUNTIFS(CALC!$A$57:$A$149,4,CALC!$C$57:$C$149,"&lt;="&amp;$A37)=0,"",CONSTANTS!$D$77+SUMIFS(CALC!$O$57:$O$149,CALC!$A$57:$A$149,4,CALC!$C$57:$C$149,"&lt;="&amp;$A37)+SUMIFS(CALC!$N$57:$N$149,CALC!$A$57:$A$149,4,CALC!$C$57:$C$149,"&lt;="&amp;$A37))</f>
        <v>1,208</v>
      </c>
      <c r="F37" s="33" t="str">
        <f>IF(COUNTIFS(CALC!$A$57:$A$149,5,CALC!$C$57:$C$149,"&lt;="&amp;$A37)=0,"",CONSTANTS!$D$78+SUMIFS(CALC!$O$57:$O$149,CALC!$A$57:$A$149,5,CALC!$C$57:$C$149,"&lt;="&amp;$A37)+SUMIFS(CALC!$N$57:$N$149,CALC!$A$57:$A$149,5,CALC!$C$57:$C$149,"&lt;="&amp;$A37))</f>
        <v>1,256</v>
      </c>
      <c r="G37" s="33" t="str">
        <f>IF(COUNTIFS(CALC!$A$57:$A$149,6,CALC!$C$57:$C$149,"&lt;="&amp;$A37)=0,"",CONSTANTS!$D$79+SUMIFS(CALC!$O$57:$O$149,CALC!$A$57:$A$149,6,CALC!$C$57:$C$149,"&lt;="&amp;$A37)+SUMIFS(CALC!$N$57:$N$149,CALC!$A$57:$A$149,6,CALC!$C$57:$C$149,"&lt;="&amp;$A37))</f>
        <v>1,402</v>
      </c>
      <c r="H37" s="33" t="str">
        <f>IF(COUNTIFS(CALC!$A$57:$A$149,7,CALC!$C$57:$C$149,"&lt;="&amp;$A37)=0,"",CONSTANTS!$D$80+SUMIFS(CALC!$O$57:$O$149,CALC!$A$57:$A$149,7,CALC!$C$57:$C$149,"&lt;="&amp;$A37)+SUMIFS(CALC!$N$57:$N$149,CALC!$A$57:$A$149,7,CALC!$C$57:$C$149,"&lt;="&amp;$A37))</f>
        <v>1,827</v>
      </c>
      <c r="I37" s="33" t="str">
        <f>IF(COUNTIFS(CALC!$A$57:$A$149,8,CALC!$C$57:$C$149,"&lt;="&amp;$A37)=0,"",CONSTANTS!$D$81+SUMIFS(CALC!$O$57:$O$149,CALC!$A$57:$A$149,8,CALC!$C$57:$C$149,"&lt;="&amp;$A37)+SUMIFS(CALC!$N$57:$N$149,CALC!$A$57:$A$149,8,CALC!$C$57:$C$149,"&lt;="&amp;$A37))</f>
        <v>1,764</v>
      </c>
      <c r="J37" s="33" t="str">
        <f>IF(COUNTIFS(CALC!$A$57:$A$149,9,CALC!$C$57:$C$149,"&lt;="&amp;$A37)=0,"",CONSTANTS!$D$82+SUMIFS(CALC!$O$57:$O$149,CALC!$A$57:$A$149,9,CALC!$C$57:$C$149,"&lt;="&amp;$A37)+SUMIFS(CALC!$N$57:$N$149,CALC!$A$57:$A$149,9,CALC!$C$57:$C$149,"&lt;="&amp;$A37))</f>
        <v>1,490</v>
      </c>
      <c r="K37" s="33" t="str">
        <f>IF(COUNTIFS(CALC!$A$57:$A$149,10,CALC!$C$57:$C$149,"&lt;="&amp;$A37)=0,"",CONSTANTS!$D$83+SUMIFS(CALC!$O$57:$O$149,CALC!$A$57:$A$149,10,CALC!$C$57:$C$149,"&lt;="&amp;$A37)+SUMIFS(CALC!$N$57:$N$149,CALC!$A$57:$A$149,10,CALC!$C$57:$C$149,"&lt;="&amp;$A37))</f>
        <v>2,273</v>
      </c>
    </row>
    <row r="38" ht="14.25" customHeight="1">
      <c r="A38" s="6">
        <v>6.0</v>
      </c>
      <c r="B38" s="33" t="str">
        <f>IF(COUNTIFS(CALC!$A$57:$A$149,1,CALC!$C$57:$C$149,"&lt;="&amp;$A38)=0,"",CONSTANTS!$D$74+SUMIFS(CALC!$O$57:$O$149,CALC!$A$57:$A$149,1,CALC!$C$57:$C$149,"&lt;="&amp;$A38)+SUMIFS(CALC!$N$57:$N$149,CALC!$A$57:$A$149,1,CALC!$C$57:$C$149,"&lt;="&amp;$A38))</f>
        <v>1,160</v>
      </c>
      <c r="C38" s="33" t="str">
        <f>IF(COUNTIFS(CALC!$A$57:$A$149,2,CALC!$C$57:$C$149,"&lt;="&amp;$A38)=0,"",CONSTANTS!$D$75+SUMIFS(CALC!$O$57:$O$149,CALC!$A$57:$A$149,2,CALC!$C$57:$C$149,"&lt;="&amp;$A38)+SUMIFS(CALC!$N$57:$N$149,CALC!$A$57:$A$149,2,CALC!$C$57:$C$149,"&lt;="&amp;$A38))</f>
        <v>1,208</v>
      </c>
      <c r="D38" s="33" t="str">
        <f>IF(COUNTIFS(CALC!$A$57:$A$149,3,CALC!$C$57:$C$149,"&lt;="&amp;$A38)=0,"",CONSTANTS!$D$76+SUMIFS(CALC!$O$57:$O$149,CALC!$A$57:$A$149,3,CALC!$C$57:$C$149,"&lt;="&amp;$A38)+SUMIFS(CALC!$N$57:$N$149,CALC!$A$57:$A$149,3,CALC!$C$57:$C$149,"&lt;="&amp;$A38))</f>
        <v>1,202</v>
      </c>
      <c r="E38" s="33" t="str">
        <f>IF(COUNTIFS(CALC!$A$57:$A$149,4,CALC!$C$57:$C$149,"&lt;="&amp;$A38)=0,"",CONSTANTS!$D$77+SUMIFS(CALC!$O$57:$O$149,CALC!$A$57:$A$149,4,CALC!$C$57:$C$149,"&lt;="&amp;$A38)+SUMIFS(CALC!$N$57:$N$149,CALC!$A$57:$A$149,4,CALC!$C$57:$C$149,"&lt;="&amp;$A38))</f>
        <v>1,350</v>
      </c>
      <c r="F38" s="33" t="str">
        <f>IF(COUNTIFS(CALC!$A$57:$A$149,5,CALC!$C$57:$C$149,"&lt;="&amp;$A38)=0,"",CONSTANTS!$D$78+SUMIFS(CALC!$O$57:$O$149,CALC!$A$57:$A$149,5,CALC!$C$57:$C$149,"&lt;="&amp;$A38)+SUMIFS(CALC!$N$57:$N$149,CALC!$A$57:$A$149,5,CALC!$C$57:$C$149,"&lt;="&amp;$A38))</f>
        <v>1,498</v>
      </c>
      <c r="G38" s="33" t="str">
        <f>IF(COUNTIFS(CALC!$A$57:$A$149,6,CALC!$C$57:$C$149,"&lt;="&amp;$A38)=0,"",CONSTANTS!$D$79+SUMIFS(CALC!$O$57:$O$149,CALC!$A$57:$A$149,6,CALC!$C$57:$C$149,"&lt;="&amp;$A38)+SUMIFS(CALC!$N$57:$N$149,CALC!$A$57:$A$149,6,CALC!$C$57:$C$149,"&lt;="&amp;$A38))</f>
        <v>1,586</v>
      </c>
      <c r="H38" s="33" t="str">
        <f>IF(COUNTIFS(CALC!$A$57:$A$149,7,CALC!$C$57:$C$149,"&lt;="&amp;$A38)=0,"",CONSTANTS!$D$80+SUMIFS(CALC!$O$57:$O$149,CALC!$A$57:$A$149,7,CALC!$C$57:$C$149,"&lt;="&amp;$A38)+SUMIFS(CALC!$N$57:$N$149,CALC!$A$57:$A$149,7,CALC!$C$57:$C$149,"&lt;="&amp;$A38))</f>
        <v>1,987</v>
      </c>
      <c r="I38" s="33" t="str">
        <f>IF(COUNTIFS(CALC!$A$57:$A$149,8,CALC!$C$57:$C$149,"&lt;="&amp;$A38)=0,"",CONSTANTS!$D$81+SUMIFS(CALC!$O$57:$O$149,CALC!$A$57:$A$149,8,CALC!$C$57:$C$149,"&lt;="&amp;$A38)+SUMIFS(CALC!$N$57:$N$149,CALC!$A$57:$A$149,8,CALC!$C$57:$C$149,"&lt;="&amp;$A38))</f>
        <v>1,974</v>
      </c>
      <c r="J38" s="33" t="str">
        <f>IF(COUNTIFS(CALC!$A$57:$A$149,9,CALC!$C$57:$C$149,"&lt;="&amp;$A38)=0,"",CONSTANTS!$D$82+SUMIFS(CALC!$O$57:$O$149,CALC!$A$57:$A$149,9,CALC!$C$57:$C$149,"&lt;="&amp;$A38)+SUMIFS(CALC!$N$57:$N$149,CALC!$A$57:$A$149,9,CALC!$C$57:$C$149,"&lt;="&amp;$A38))</f>
        <v>2,134</v>
      </c>
      <c r="K38" s="33" t="str">
        <f>IF(COUNTIFS(CALC!$A$57:$A$149,10,CALC!$C$57:$C$149,"&lt;="&amp;$A38)=0,"",CONSTANTS!$D$83+SUMIFS(CALC!$O$57:$O$149,CALC!$A$57:$A$149,10,CALC!$C$57:$C$149,"&lt;="&amp;$A38)+SUMIFS(CALC!$N$57:$N$149,CALC!$A$57:$A$149,10,CALC!$C$57:$C$149,"&lt;="&amp;$A38))</f>
        <v>2,633</v>
      </c>
    </row>
    <row r="39" ht="14.25" customHeight="1">
      <c r="A39" s="6">
        <v>7.0</v>
      </c>
      <c r="B39" s="33" t="str">
        <f>IF(COUNTIFS(CALC!$A$57:$A$149,1,CALC!$C$57:$C$149,"&lt;="&amp;$A39)=0,"",CONSTANTS!$D$74+SUMIFS(CALC!$O$57:$O$149,CALC!$A$57:$A$149,1,CALC!$C$57:$C$149,"&lt;="&amp;$A39)+SUMIFS(CALC!$N$57:$N$149,CALC!$A$57:$A$149,1,CALC!$C$57:$C$149,"&lt;="&amp;$A39))</f>
        <v>1,497</v>
      </c>
      <c r="C39" s="33" t="str">
        <f>IF(COUNTIFS(CALC!$A$57:$A$149,2,CALC!$C$57:$C$149,"&lt;="&amp;$A39)=0,"",CONSTANTS!$D$75+SUMIFS(CALC!$O$57:$O$149,CALC!$A$57:$A$149,2,CALC!$C$57:$C$149,"&lt;="&amp;$A39)+SUMIFS(CALC!$N$57:$N$149,CALC!$A$57:$A$149,2,CALC!$C$57:$C$149,"&lt;="&amp;$A39))</f>
        <v>1,542</v>
      </c>
      <c r="D39" s="33" t="str">
        <f>IF(COUNTIFS(CALC!$A$57:$A$149,3,CALC!$C$57:$C$149,"&lt;="&amp;$A39)=0,"",CONSTANTS!$D$76+SUMIFS(CALC!$O$57:$O$149,CALC!$A$57:$A$149,3,CALC!$C$57:$C$149,"&lt;="&amp;$A39)+SUMIFS(CALC!$N$57:$N$149,CALC!$A$57:$A$149,3,CALC!$C$57:$C$149,"&lt;="&amp;$A39))</f>
        <v>1,466</v>
      </c>
      <c r="E39" s="33" t="str">
        <f>IF(COUNTIFS(CALC!$A$57:$A$149,4,CALC!$C$57:$C$149,"&lt;="&amp;$A39)=0,"",CONSTANTS!$D$77+SUMIFS(CALC!$O$57:$O$149,CALC!$A$57:$A$149,4,CALC!$C$57:$C$149,"&lt;="&amp;$A39)+SUMIFS(CALC!$N$57:$N$149,CALC!$A$57:$A$149,4,CALC!$C$57:$C$149,"&lt;="&amp;$A39))</f>
        <v>1,538</v>
      </c>
      <c r="F39" s="33" t="str">
        <f>IF(COUNTIFS(CALC!$A$57:$A$149,5,CALC!$C$57:$C$149,"&lt;="&amp;$A39)=0,"",CONSTANTS!$D$78+SUMIFS(CALC!$O$57:$O$149,CALC!$A$57:$A$149,5,CALC!$C$57:$C$149,"&lt;="&amp;$A39)+SUMIFS(CALC!$N$57:$N$149,CALC!$A$57:$A$149,5,CALC!$C$57:$C$149,"&lt;="&amp;$A39))</f>
        <v>1,798</v>
      </c>
      <c r="G39" s="33" t="str">
        <f>IF(COUNTIFS(CALC!$A$57:$A$149,6,CALC!$C$57:$C$149,"&lt;="&amp;$A39)=0,"",CONSTANTS!$D$79+SUMIFS(CALC!$O$57:$O$149,CALC!$A$57:$A$149,6,CALC!$C$57:$C$149,"&lt;="&amp;$A39)+SUMIFS(CALC!$N$57:$N$149,CALC!$A$57:$A$149,6,CALC!$C$57:$C$149,"&lt;="&amp;$A39))</f>
        <v>1,846</v>
      </c>
      <c r="H39" s="33" t="str">
        <f>IF(COUNTIFS(CALC!$A$57:$A$149,7,CALC!$C$57:$C$149,"&lt;="&amp;$A39)=0,"",CONSTANTS!$D$80+SUMIFS(CALC!$O$57:$O$149,CALC!$A$57:$A$149,7,CALC!$C$57:$C$149,"&lt;="&amp;$A39)+SUMIFS(CALC!$N$57:$N$149,CALC!$A$57:$A$149,7,CALC!$C$57:$C$149,"&lt;="&amp;$A39))</f>
        <v>2,261</v>
      </c>
      <c r="I39" s="33" t="str">
        <f>IF(COUNTIFS(CALC!$A$57:$A$149,8,CALC!$C$57:$C$149,"&lt;="&amp;$A39)=0,"",CONSTANTS!$D$81+SUMIFS(CALC!$O$57:$O$149,CALC!$A$57:$A$149,8,CALC!$C$57:$C$149,"&lt;="&amp;$A39)+SUMIFS(CALC!$N$57:$N$149,CALC!$A$57:$A$149,8,CALC!$C$57:$C$149,"&lt;="&amp;$A39))</f>
        <v>2,299</v>
      </c>
      <c r="J39" s="33" t="str">
        <f>IF(COUNTIFS(CALC!$A$57:$A$149,9,CALC!$C$57:$C$149,"&lt;="&amp;$A39)=0,"",CONSTANTS!$D$82+SUMIFS(CALC!$O$57:$O$149,CALC!$A$57:$A$149,9,CALC!$C$57:$C$149,"&lt;="&amp;$A39)+SUMIFS(CALC!$N$57:$N$149,CALC!$A$57:$A$149,9,CALC!$C$57:$C$149,"&lt;="&amp;$A39))</f>
        <v>2,384</v>
      </c>
      <c r="K39" s="33" t="str">
        <f>IF(COUNTIFS(CALC!$A$57:$A$149,10,CALC!$C$57:$C$149,"&lt;="&amp;$A39)=0,"",CONSTANTS!$D$83+SUMIFS(CALC!$O$57:$O$149,CALC!$A$57:$A$149,10,CALC!$C$57:$C$149,"&lt;="&amp;$A39)+SUMIFS(CALC!$N$57:$N$149,CALC!$A$57:$A$149,10,CALC!$C$57:$C$149,"&lt;="&amp;$A39))</f>
        <v>2,967</v>
      </c>
    </row>
    <row r="40" ht="14.25" customHeight="1">
      <c r="A40" s="6">
        <v>8.0</v>
      </c>
      <c r="B40" s="33" t="str">
        <f>IF(COUNTIFS(CALC!$A$57:$A$149,1,CALC!$C$57:$C$149,"&lt;="&amp;$A40)=0,"",CONSTANTS!$D$74+SUMIFS(CALC!$O$57:$O$149,CALC!$A$57:$A$149,1,CALC!$C$57:$C$149,"&lt;="&amp;$A40)+SUMIFS(CALC!$N$57:$N$149,CALC!$A$57:$A$149,1,CALC!$C$57:$C$149,"&lt;="&amp;$A40))</f>
        <v>1,641</v>
      </c>
      <c r="C40" s="33" t="str">
        <f>IF(COUNTIFS(CALC!$A$57:$A$149,2,CALC!$C$57:$C$149,"&lt;="&amp;$A40)=0,"",CONSTANTS!$D$75+SUMIFS(CALC!$O$57:$O$149,CALC!$A$57:$A$149,2,CALC!$C$57:$C$149,"&lt;="&amp;$A40)+SUMIFS(CALC!$N$57:$N$149,CALC!$A$57:$A$149,2,CALC!$C$57:$C$149,"&lt;="&amp;$A40))</f>
        <v>1,686</v>
      </c>
      <c r="D40" s="33" t="str">
        <f>IF(COUNTIFS(CALC!$A$57:$A$149,3,CALC!$C$57:$C$149,"&lt;="&amp;$A40)=0,"",CONSTANTS!$D$76+SUMIFS(CALC!$O$57:$O$149,CALC!$A$57:$A$149,3,CALC!$C$57:$C$149,"&lt;="&amp;$A40)+SUMIFS(CALC!$N$57:$N$149,CALC!$A$57:$A$149,3,CALC!$C$57:$C$149,"&lt;="&amp;$A40))</f>
        <v>1,718</v>
      </c>
      <c r="E40" s="33" t="str">
        <f>IF(COUNTIFS(CALC!$A$57:$A$149,4,CALC!$C$57:$C$149,"&lt;="&amp;$A40)=0,"",CONSTANTS!$D$77+SUMIFS(CALC!$O$57:$O$149,CALC!$A$57:$A$149,4,CALC!$C$57:$C$149,"&lt;="&amp;$A40)+SUMIFS(CALC!$N$57:$N$149,CALC!$A$57:$A$149,4,CALC!$C$57:$C$149,"&lt;="&amp;$A40))</f>
        <v>1,790</v>
      </c>
      <c r="F40" s="33" t="str">
        <f>IF(COUNTIFS(CALC!$A$57:$A$149,5,CALC!$C$57:$C$149,"&lt;="&amp;$A40)=0,"",CONSTANTS!$D$78+SUMIFS(CALC!$O$57:$O$149,CALC!$A$57:$A$149,5,CALC!$C$57:$C$149,"&lt;="&amp;$A40)+SUMIFS(CALC!$N$57:$N$149,CALC!$A$57:$A$149,5,CALC!$C$57:$C$149,"&lt;="&amp;$A40))</f>
        <v>2,050</v>
      </c>
      <c r="G40" s="33" t="str">
        <f>IF(COUNTIFS(CALC!$A$57:$A$149,6,CALC!$C$57:$C$149,"&lt;="&amp;$A40)=0,"",CONSTANTS!$D$79+SUMIFS(CALC!$O$57:$O$149,CALC!$A$57:$A$149,6,CALC!$C$57:$C$149,"&lt;="&amp;$A40)+SUMIFS(CALC!$N$57:$N$149,CALC!$A$57:$A$149,6,CALC!$C$57:$C$149,"&lt;="&amp;$A40))</f>
        <v>2,060</v>
      </c>
      <c r="H40" s="33" t="str">
        <f>IF(COUNTIFS(CALC!$A$57:$A$149,7,CALC!$C$57:$C$149,"&lt;="&amp;$A40)=0,"",CONSTANTS!$D$80+SUMIFS(CALC!$O$57:$O$149,CALC!$A$57:$A$149,7,CALC!$C$57:$C$149,"&lt;="&amp;$A40)+SUMIFS(CALC!$N$57:$N$149,CALC!$A$57:$A$149,7,CALC!$C$57:$C$149,"&lt;="&amp;$A40))</f>
        <v>2,523</v>
      </c>
      <c r="I40" s="33" t="str">
        <f>IF(COUNTIFS(CALC!$A$57:$A$149,8,CALC!$C$57:$C$149,"&lt;="&amp;$A40)=0,"",CONSTANTS!$D$81+SUMIFS(CALC!$O$57:$O$149,CALC!$A$57:$A$149,8,CALC!$C$57:$C$149,"&lt;="&amp;$A40)+SUMIFS(CALC!$N$57:$N$149,CALC!$A$57:$A$149,8,CALC!$C$57:$C$149,"&lt;="&amp;$A40))</f>
        <v>2,539</v>
      </c>
      <c r="J40" s="33" t="str">
        <f>IF(COUNTIFS(CALC!$A$57:$A$149,9,CALC!$C$57:$C$149,"&lt;="&amp;$A40)=0,"",CONSTANTS!$D$82+SUMIFS(CALC!$O$57:$O$149,CALC!$A$57:$A$149,9,CALC!$C$57:$C$149,"&lt;="&amp;$A40)+SUMIFS(CALC!$N$57:$N$149,CALC!$A$57:$A$149,9,CALC!$C$57:$C$149,"&lt;="&amp;$A40))</f>
        <v>2,384</v>
      </c>
      <c r="K40" s="33" t="str">
        <f>IF(COUNTIFS(CALC!$A$57:$A$149,10,CALC!$C$57:$C$149,"&lt;="&amp;$A40)=0,"",CONSTANTS!$D$83+SUMIFS(CALC!$O$57:$O$149,CALC!$A$57:$A$149,10,CALC!$C$57:$C$149,"&lt;="&amp;$A40)+SUMIFS(CALC!$N$57:$N$149,CALC!$A$57:$A$149,10,CALC!$C$57:$C$149,"&lt;="&amp;$A40))</f>
        <v>3,193</v>
      </c>
    </row>
    <row r="41" ht="14.25" customHeight="1">
      <c r="A41" s="6">
        <v>9.0</v>
      </c>
      <c r="B41" s="33" t="str">
        <f>IF(COUNTIFS(CALC!$A$57:$A$149,1,CALC!$C$57:$C$149,"&lt;="&amp;$A41)=0,"",CONSTANTS!$D$74+SUMIFS(CALC!$O$57:$O$149,CALC!$A$57:$A$149,1,CALC!$C$57:$C$149,"&lt;="&amp;$A41)+SUMIFS(CALC!$N$57:$N$149,CALC!$A$57:$A$149,1,CALC!$C$57:$C$149,"&lt;="&amp;$A41))</f>
        <v>1,641</v>
      </c>
      <c r="C41" s="33" t="str">
        <f>IF(COUNTIFS(CALC!$A$57:$A$149,2,CALC!$C$57:$C$149,"&lt;="&amp;$A41)=0,"",CONSTANTS!$D$75+SUMIFS(CALC!$O$57:$O$149,CALC!$A$57:$A$149,2,CALC!$C$57:$C$149,"&lt;="&amp;$A41)+SUMIFS(CALC!$N$57:$N$149,CALC!$A$57:$A$149,2,CALC!$C$57:$C$149,"&lt;="&amp;$A41))</f>
        <v>1,686</v>
      </c>
      <c r="D41" s="33" t="str">
        <f>IF(COUNTIFS(CALC!$A$57:$A$149,3,CALC!$C$57:$C$149,"&lt;="&amp;$A41)=0,"",CONSTANTS!$D$76+SUMIFS(CALC!$O$57:$O$149,CALC!$A$57:$A$149,3,CALC!$C$57:$C$149,"&lt;="&amp;$A41)+SUMIFS(CALC!$N$57:$N$149,CALC!$A$57:$A$149,3,CALC!$C$57:$C$149,"&lt;="&amp;$A41))</f>
        <v>2,046</v>
      </c>
      <c r="E41" s="33" t="str">
        <f>IF(COUNTIFS(CALC!$A$57:$A$149,4,CALC!$C$57:$C$149,"&lt;="&amp;$A41)=0,"",CONSTANTS!$D$77+SUMIFS(CALC!$O$57:$O$149,CALC!$A$57:$A$149,4,CALC!$C$57:$C$149,"&lt;="&amp;$A41)+SUMIFS(CALC!$N$57:$N$149,CALC!$A$57:$A$149,4,CALC!$C$57:$C$149,"&lt;="&amp;$A41))</f>
        <v>2,126</v>
      </c>
      <c r="F41" s="33" t="str">
        <f>IF(COUNTIFS(CALC!$A$57:$A$149,5,CALC!$C$57:$C$149,"&lt;="&amp;$A41)=0,"",CONSTANTS!$D$78+SUMIFS(CALC!$O$57:$O$149,CALC!$A$57:$A$149,5,CALC!$C$57:$C$149,"&lt;="&amp;$A41)+SUMIFS(CALC!$N$57:$N$149,CALC!$A$57:$A$149,5,CALC!$C$57:$C$149,"&lt;="&amp;$A41))</f>
        <v>2,262</v>
      </c>
      <c r="G41" s="33" t="str">
        <f>IF(COUNTIFS(CALC!$A$57:$A$149,6,CALC!$C$57:$C$149,"&lt;="&amp;$A41)=0,"",CONSTANTS!$D$79+SUMIFS(CALC!$O$57:$O$149,CALC!$A$57:$A$149,6,CALC!$C$57:$C$149,"&lt;="&amp;$A41)+SUMIFS(CALC!$N$57:$N$149,CALC!$A$57:$A$149,6,CALC!$C$57:$C$149,"&lt;="&amp;$A41))</f>
        <v>2,426</v>
      </c>
      <c r="H41" s="33" t="str">
        <f>IF(COUNTIFS(CALC!$A$57:$A$149,7,CALC!$C$57:$C$149,"&lt;="&amp;$A41)=0,"",CONSTANTS!$D$80+SUMIFS(CALC!$O$57:$O$149,CALC!$A$57:$A$149,7,CALC!$C$57:$C$149,"&lt;="&amp;$A41)+SUMIFS(CALC!$N$57:$N$149,CALC!$A$57:$A$149,7,CALC!$C$57:$C$149,"&lt;="&amp;$A41))</f>
        <v>2,845</v>
      </c>
      <c r="I41" s="33" t="str">
        <f>IF(COUNTIFS(CALC!$A$57:$A$149,8,CALC!$C$57:$C$149,"&lt;="&amp;$A41)=0,"",CONSTANTS!$D$81+SUMIFS(CALC!$O$57:$O$149,CALC!$A$57:$A$149,8,CALC!$C$57:$C$149,"&lt;="&amp;$A41)+SUMIFS(CALC!$N$57:$N$149,CALC!$A$57:$A$149,8,CALC!$C$57:$C$149,"&lt;="&amp;$A41))</f>
        <v>2,939</v>
      </c>
      <c r="J41" s="33" t="str">
        <f>IF(COUNTIFS(CALC!$A$57:$A$149,9,CALC!$C$57:$C$149,"&lt;="&amp;$A41)=0,"",CONSTANTS!$D$82+SUMIFS(CALC!$O$57:$O$149,CALC!$A$57:$A$149,9,CALC!$C$57:$C$149,"&lt;="&amp;$A41)+SUMIFS(CALC!$N$57:$N$149,CALC!$A$57:$A$149,9,CALC!$C$57:$C$149,"&lt;="&amp;$A41))</f>
        <v>2,384</v>
      </c>
      <c r="K41" s="33" t="str">
        <f>IF(COUNTIFS(CALC!$A$57:$A$149,10,CALC!$C$57:$C$149,"&lt;="&amp;$A41)=0,"",CONSTANTS!$D$83+SUMIFS(CALC!$O$57:$O$149,CALC!$A$57:$A$149,10,CALC!$C$57:$C$149,"&lt;="&amp;$A41)+SUMIFS(CALC!$N$57:$N$149,CALC!$A$57:$A$149,10,CALC!$C$57:$C$149,"&lt;="&amp;$A41))</f>
        <v>3,554</v>
      </c>
    </row>
    <row r="42" ht="14.25" customHeight="1">
      <c r="A42" s="6">
        <v>10.0</v>
      </c>
      <c r="B42" s="33" t="str">
        <f>IF(COUNTIFS(CALC!$A$57:$A$149,1,CALC!$C$57:$C$149,"&lt;="&amp;$A42)=0,"",CONSTANTS!$D$74+SUMIFS(CALC!$O$57:$O$149,CALC!$A$57:$A$149,1,CALC!$C$57:$C$149,"&lt;="&amp;$A42)+SUMIFS(CALC!$N$57:$N$149,CALC!$A$57:$A$149,1,CALC!$C$57:$C$149,"&lt;="&amp;$A42))</f>
        <v>1,641</v>
      </c>
      <c r="C42" s="33" t="str">
        <f>IF(COUNTIFS(CALC!$A$57:$A$149,2,CALC!$C$57:$C$149,"&lt;="&amp;$A42)=0,"",CONSTANTS!$D$75+SUMIFS(CALC!$O$57:$O$149,CALC!$A$57:$A$149,2,CALC!$C$57:$C$149,"&lt;="&amp;$A42)+SUMIFS(CALC!$N$57:$N$149,CALC!$A$57:$A$149,2,CALC!$C$57:$C$149,"&lt;="&amp;$A42))</f>
        <v>1,686</v>
      </c>
      <c r="D42" s="33" t="str">
        <f>IF(COUNTIFS(CALC!$A$57:$A$149,3,CALC!$C$57:$C$149,"&lt;="&amp;$A42)=0,"",CONSTANTS!$D$76+SUMIFS(CALC!$O$57:$O$149,CALC!$A$57:$A$149,3,CALC!$C$57:$C$149,"&lt;="&amp;$A42)+SUMIFS(CALC!$N$57:$N$149,CALC!$A$57:$A$149,3,CALC!$C$57:$C$149,"&lt;="&amp;$A42))</f>
        <v>2,288</v>
      </c>
      <c r="E42" s="33" t="str">
        <f>IF(COUNTIFS(CALC!$A$57:$A$149,4,CALC!$C$57:$C$149,"&lt;="&amp;$A42)=0,"",CONSTANTS!$D$77+SUMIFS(CALC!$O$57:$O$149,CALC!$A$57:$A$149,4,CALC!$C$57:$C$149,"&lt;="&amp;$A42)+SUMIFS(CALC!$N$57:$N$149,CALC!$A$57:$A$149,4,CALC!$C$57:$C$149,"&lt;="&amp;$A42))</f>
        <v>2,459</v>
      </c>
      <c r="F42" s="33" t="str">
        <f>IF(COUNTIFS(CALC!$A$57:$A$149,5,CALC!$C$57:$C$149,"&lt;="&amp;$A42)=0,"",CONSTANTS!$D$78+SUMIFS(CALC!$O$57:$O$149,CALC!$A$57:$A$149,5,CALC!$C$57:$C$149,"&lt;="&amp;$A42)+SUMIFS(CALC!$N$57:$N$149,CALC!$A$57:$A$149,5,CALC!$C$57:$C$149,"&lt;="&amp;$A42))</f>
        <v>2,669</v>
      </c>
      <c r="G42" s="33" t="str">
        <f>IF(COUNTIFS(CALC!$A$57:$A$149,6,CALC!$C$57:$C$149,"&lt;="&amp;$A42)=0,"",CONSTANTS!$D$79+SUMIFS(CALC!$O$57:$O$149,CALC!$A$57:$A$149,6,CALC!$C$57:$C$149,"&lt;="&amp;$A42)+SUMIFS(CALC!$N$57:$N$149,CALC!$A$57:$A$149,6,CALC!$C$57:$C$149,"&lt;="&amp;$A42))</f>
        <v>2,618</v>
      </c>
      <c r="H42" s="33" t="str">
        <f>IF(COUNTIFS(CALC!$A$57:$A$149,7,CALC!$C$57:$C$149,"&lt;="&amp;$A42)=0,"",CONSTANTS!$D$80+SUMIFS(CALC!$O$57:$O$149,CALC!$A$57:$A$149,7,CALC!$C$57:$C$149,"&lt;="&amp;$A42)+SUMIFS(CALC!$N$57:$N$149,CALC!$A$57:$A$149,7,CALC!$C$57:$C$149,"&lt;="&amp;$A42))</f>
        <v>3,129</v>
      </c>
      <c r="I42" s="33" t="str">
        <f>IF(COUNTIFS(CALC!$A$57:$A$149,8,CALC!$C$57:$C$149,"&lt;="&amp;$A42)=0,"",CONSTANTS!$D$81+SUMIFS(CALC!$O$57:$O$149,CALC!$A$57:$A$149,8,CALC!$C$57:$C$149,"&lt;="&amp;$A42)+SUMIFS(CALC!$N$57:$N$149,CALC!$A$57:$A$149,8,CALC!$C$57:$C$149,"&lt;="&amp;$A42))</f>
        <v>3,354</v>
      </c>
      <c r="J42" s="33" t="str">
        <f>IF(COUNTIFS(CALC!$A$57:$A$149,9,CALC!$C$57:$C$149,"&lt;="&amp;$A42)=0,"",CONSTANTS!$D$82+SUMIFS(CALC!$O$57:$O$149,CALC!$A$57:$A$149,9,CALC!$C$57:$C$149,"&lt;="&amp;$A42)+SUMIFS(CALC!$N$57:$N$149,CALC!$A$57:$A$149,9,CALC!$C$57:$C$149,"&lt;="&amp;$A42))</f>
        <v>2,384</v>
      </c>
      <c r="K42" s="33" t="str">
        <f>IF(COUNTIFS(CALC!$A$57:$A$149,10,CALC!$C$57:$C$149,"&lt;="&amp;$A42)=0,"",CONSTANTS!$D$83+SUMIFS(CALC!$O$57:$O$149,CALC!$A$57:$A$149,10,CALC!$C$57:$C$149,"&lt;="&amp;$A42)+SUMIFS(CALC!$N$57:$N$149,CALC!$A$57:$A$149,10,CALC!$C$57:$C$149,"&lt;="&amp;$A42))</f>
        <v>3,564</v>
      </c>
    </row>
    <row r="43" ht="14.25" customHeight="1"/>
    <row r="44" ht="14.25" customHeight="1">
      <c r="A44" s="3" t="s">
        <v>416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ht="14.25" customHeight="1">
      <c r="A45" s="2" t="s">
        <v>417</v>
      </c>
    </row>
    <row r="46" ht="33.75" customHeight="1">
      <c r="A46" s="5" t="s">
        <v>373</v>
      </c>
      <c r="B46" s="5" t="s">
        <v>254</v>
      </c>
      <c r="C46" s="5" t="s">
        <v>409</v>
      </c>
      <c r="D46" s="5" t="s">
        <v>410</v>
      </c>
      <c r="E46" s="5" t="s">
        <v>411</v>
      </c>
      <c r="F46" s="5" t="s">
        <v>412</v>
      </c>
      <c r="G46" s="5" t="s">
        <v>192</v>
      </c>
      <c r="H46" s="5" t="s">
        <v>413</v>
      </c>
      <c r="I46" s="5" t="s">
        <v>194</v>
      </c>
      <c r="J46" s="5" t="s">
        <v>414</v>
      </c>
      <c r="K46" s="5" t="s">
        <v>415</v>
      </c>
      <c r="L46" s="5" t="s">
        <v>195</v>
      </c>
    </row>
    <row r="47" ht="14.25" customHeight="1">
      <c r="A47" s="6" t="s">
        <v>375</v>
      </c>
      <c r="B47" s="33" t="str">
        <f>$C$6</f>
        <v>420</v>
      </c>
      <c r="C47" s="53" t="str">
        <f t="shared" ref="C47:L47" si="9">IF(COUNTIF(B$33:B$42,"&lt;"&amp;$B47)&gt;=COUNT(B$33:B$42),"không",COUNTIF(B$33:B$42,"&lt;"&amp;$B47)+1)</f>
        <v>1</v>
      </c>
      <c r="D47" s="53" t="str">
        <f t="shared" si="9"/>
        <v>1</v>
      </c>
      <c r="E47" s="53" t="str">
        <f t="shared" si="9"/>
        <v>1</v>
      </c>
      <c r="F47" s="53" t="str">
        <f t="shared" si="9"/>
        <v>1</v>
      </c>
      <c r="G47" s="53" t="str">
        <f t="shared" si="9"/>
        <v>1</v>
      </c>
      <c r="H47" s="53" t="str">
        <f t="shared" si="9"/>
        <v>1</v>
      </c>
      <c r="I47" s="53" t="str">
        <f t="shared" si="9"/>
        <v>1</v>
      </c>
      <c r="J47" s="53" t="str">
        <f t="shared" si="9"/>
        <v>1</v>
      </c>
      <c r="K47" s="53" t="str">
        <f t="shared" si="9"/>
        <v>1</v>
      </c>
      <c r="L47" s="53" t="str">
        <f t="shared" si="9"/>
        <v>1</v>
      </c>
    </row>
    <row r="48" ht="14.25" customHeight="1">
      <c r="A48" s="6" t="s">
        <v>418</v>
      </c>
      <c r="B48" s="33" t="str">
        <f t="array" ref="B48">CONSTANTS!$I$25+INDEX(CONSTANTS!$C$34:$C$42,MATCH(1,CONSTANTS!$B$34:$B$42,0))</f>
        <v>480</v>
      </c>
      <c r="C48" s="53" t="str">
        <f t="shared" ref="C48:L48" si="10">IF(COUNTIF(B$33:B$42,"&lt;"&amp;$B48)&gt;=COUNT(B$33:B$42),"không",COUNTIF(B$33:B$42,"&lt;"&amp;$B48)+1)</f>
        <v>1</v>
      </c>
      <c r="D48" s="53" t="str">
        <f t="shared" si="10"/>
        <v>1</v>
      </c>
      <c r="E48" s="53" t="str">
        <f t="shared" si="10"/>
        <v>1</v>
      </c>
      <c r="F48" s="53" t="str">
        <f t="shared" si="10"/>
        <v>1</v>
      </c>
      <c r="G48" s="53" t="str">
        <f t="shared" si="10"/>
        <v>1</v>
      </c>
      <c r="H48" s="53" t="str">
        <f t="shared" si="10"/>
        <v>1</v>
      </c>
      <c r="I48" s="53" t="str">
        <f t="shared" si="10"/>
        <v>1</v>
      </c>
      <c r="J48" s="53" t="str">
        <f t="shared" si="10"/>
        <v>1</v>
      </c>
      <c r="K48" s="53" t="str">
        <f t="shared" si="10"/>
        <v>1</v>
      </c>
      <c r="L48" s="53" t="str">
        <f t="shared" si="10"/>
        <v>1</v>
      </c>
    </row>
    <row r="49" ht="14.25" customHeight="1">
      <c r="A49" s="6" t="s">
        <v>419</v>
      </c>
      <c r="B49" s="33" t="str">
        <f>CONSTANTS!$I$25+SUMIFS(CONSTANTS!$C$34:$C$42,CONSTANTS!$A$34:$A$42,"HỎA")</f>
        <v>1,460</v>
      </c>
      <c r="C49" s="53" t="str">
        <f t="shared" ref="C49:L49" si="11">IF(COUNTIF(B$33:B$42,"&lt;"&amp;$B49)&gt;=COUNT(B$33:B$42),"không",COUNTIF(B$33:B$42,"&lt;"&amp;$B49)+1)</f>
        <v>7</v>
      </c>
      <c r="D49" s="53" t="str">
        <f t="shared" si="11"/>
        <v>7</v>
      </c>
      <c r="E49" s="53" t="str">
        <f t="shared" si="11"/>
        <v>7</v>
      </c>
      <c r="F49" s="53" t="str">
        <f t="shared" si="11"/>
        <v>7</v>
      </c>
      <c r="G49" s="53" t="str">
        <f t="shared" si="11"/>
        <v>6</v>
      </c>
      <c r="H49" s="53" t="str">
        <f t="shared" si="11"/>
        <v>6</v>
      </c>
      <c r="I49" s="53" t="str">
        <f t="shared" si="11"/>
        <v>4</v>
      </c>
      <c r="J49" s="53" t="str">
        <f t="shared" si="11"/>
        <v>5</v>
      </c>
      <c r="K49" s="53" t="str">
        <f t="shared" si="11"/>
        <v>5</v>
      </c>
      <c r="L49" s="53" t="str">
        <f t="shared" si="11"/>
        <v>3</v>
      </c>
    </row>
    <row r="50" ht="14.25" customHeight="1">
      <c r="A50" s="6" t="s">
        <v>420</v>
      </c>
      <c r="B50" s="33" t="str">
        <f>$C$7</f>
        <v>1,120</v>
      </c>
      <c r="C50" s="53" t="str">
        <f t="shared" ref="C50:L50" si="12">IF(COUNTIF(B$33:B$42,"&lt;"&amp;$B50)&gt;=COUNT(B$33:B$42),"không",COUNTIF(B$33:B$42,"&lt;"&amp;$B50)+1)</f>
        <v>6</v>
      </c>
      <c r="D50" s="53" t="str">
        <f t="shared" si="12"/>
        <v>6</v>
      </c>
      <c r="E50" s="53" t="str">
        <f t="shared" si="12"/>
        <v>6</v>
      </c>
      <c r="F50" s="53" t="str">
        <f t="shared" si="12"/>
        <v>5</v>
      </c>
      <c r="G50" s="53" t="str">
        <f t="shared" si="12"/>
        <v>5</v>
      </c>
      <c r="H50" s="53" t="str">
        <f t="shared" si="12"/>
        <v>4</v>
      </c>
      <c r="I50" s="53" t="str">
        <f t="shared" si="12"/>
        <v>3</v>
      </c>
      <c r="J50" s="53" t="str">
        <f t="shared" si="12"/>
        <v>3</v>
      </c>
      <c r="K50" s="53" t="str">
        <f t="shared" si="12"/>
        <v>3</v>
      </c>
      <c r="L50" s="53" t="str">
        <f t="shared" si="12"/>
        <v>2</v>
      </c>
    </row>
    <row r="51" ht="14.25" customHeight="1">
      <c r="A51" s="6" t="s">
        <v>228</v>
      </c>
      <c r="B51" s="33" t="str">
        <f>$C$9</f>
        <v>4,620</v>
      </c>
      <c r="C51" s="53" t="str">
        <f t="shared" ref="C51:L51" si="13">IF(COUNTIF(B$33:B$42,"&lt;"&amp;$B51)&gt;=COUNT(B$33:B$42),"không",COUNTIF(B$33:B$42,"&lt;"&amp;$B51)+1)</f>
        <v>không</v>
      </c>
      <c r="D51" s="53" t="str">
        <f t="shared" si="13"/>
        <v>không</v>
      </c>
      <c r="E51" s="53" t="str">
        <f t="shared" si="13"/>
        <v>không</v>
      </c>
      <c r="F51" s="53" t="str">
        <f t="shared" si="13"/>
        <v>không</v>
      </c>
      <c r="G51" s="53" t="str">
        <f t="shared" si="13"/>
        <v>không</v>
      </c>
      <c r="H51" s="53" t="str">
        <f t="shared" si="13"/>
        <v>không</v>
      </c>
      <c r="I51" s="53" t="str">
        <f t="shared" si="13"/>
        <v>không</v>
      </c>
      <c r="J51" s="53" t="str">
        <f t="shared" si="13"/>
        <v>không</v>
      </c>
      <c r="K51" s="53" t="str">
        <f t="shared" si="13"/>
        <v>không</v>
      </c>
      <c r="L51" s="53" t="str">
        <f t="shared" si="13"/>
        <v>không</v>
      </c>
    </row>
    <row r="52" ht="14.25" customHeight="1"/>
    <row r="53" ht="14.25" customHeight="1">
      <c r="A53" s="9" t="s">
        <v>421</v>
      </c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1.0" footer="0.0" header="0.0" left="0.75" right="0.75" top="1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CONSTANTS</vt:lpstr>
      <vt:lpstr>CALC</vt:lpstr>
      <vt:lpstr>MONITOR</vt:lpstr>
      <vt:lpstr>MATRIX</vt:lpstr>
      <vt:lpstr>ECONOMY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2026-09-10T18:33:16Z</dcterms:created>
  <dc:creator>openpyxl</dc:creator>
  <dc:description/>
  <dc:language>en-US</dc:language>
  <cp:lastModifiedBy>Minh. Nguyễn Phan Duy</cp:lastModifiedBy>
  <dcterms:modified xsi:type="dcterms:W3CDTF">2026-09-10T18:45:23Z</dcterms:modified>
  <cp:revision>1</cp:revision>
  <dc:subject/>
  <dc:title/>
</cp:coreProperties>
</file>